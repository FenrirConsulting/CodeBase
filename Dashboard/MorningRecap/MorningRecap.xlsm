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/>
  <mc:AlternateContent xmlns:mc="http://schemas.openxmlformats.org/markup-compatibility/2006">
    <mc:Choice Requires="x15">
      <x15ac:absPath xmlns:x15ac="http://schemas.microsoft.com/office/spreadsheetml/2010/11/ac" url="C:\Dashboard\MorningRecap\MorningRecap\bin\Release\"/>
    </mc:Choice>
  </mc:AlternateContent>
  <bookViews>
    <workbookView xWindow="-120" yWindow="-120" windowWidth="29040" windowHeight="15840" tabRatio="740"/>
  </bookViews>
  <sheets>
    <sheet name="Print This" sheetId="1" r:id="rId1"/>
    <sheet name="RxTable" sheetId="3" r:id="rId2"/>
    <sheet name="InboundTable" sheetId="4" r:id="rId3"/>
    <sheet name="RepackTable" sheetId="5" r:id="rId4"/>
    <sheet name="OffsiteTable" sheetId="6" r:id="rId5"/>
    <sheet name="DPSTable" sheetId="7" r:id="rId6"/>
    <sheet name="MPSTable" sheetId="8" r:id="rId7"/>
    <sheet name="CPSTable" sheetId="9" r:id="rId8"/>
    <sheet name="ShippingTable" sheetId="10" r:id="rId9"/>
    <sheet name="ICTable" sheetId="11" r:id="rId10"/>
    <sheet name="Notes" sheetId="12" r:id="rId11"/>
  </sheets>
  <definedNames>
    <definedName name="CPS_14" localSheetId="7">CPSTable!$A$1:$B$13</definedName>
    <definedName name="DPS_14" localSheetId="5">DPSTable!$A$1:$B$16</definedName>
    <definedName name="IC_14" localSheetId="9">ICTable!$A$1:$B$6</definedName>
    <definedName name="Inbound_13" localSheetId="2">InboundTable!$A$1:$B$20</definedName>
    <definedName name="MPS_14" localSheetId="6">MPSTable!$A$1:$B$14</definedName>
    <definedName name="Notes_13" localSheetId="10">Notes!$A$1:$B$16</definedName>
    <definedName name="Offsite_14" localSheetId="4">OffsiteTable!$A$1:$B$7</definedName>
    <definedName name="Repack_13" localSheetId="3">RepackTable!$A$1:$B$14</definedName>
    <definedName name="Rx_14" localSheetId="1">RxTable!$A$1:$B$11</definedName>
    <definedName name="Shipping_14" localSheetId="8">ShippingTable!$A$1:$B$10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6" i="1" l="1"/>
  <c r="M38" i="1"/>
  <c r="M37" i="1"/>
  <c r="M36" i="1"/>
  <c r="K40" i="1"/>
  <c r="K39" i="1"/>
  <c r="K38" i="1"/>
  <c r="K37" i="1"/>
  <c r="K36" i="1"/>
  <c r="M15" i="1"/>
  <c r="K15" i="1"/>
  <c r="K14" i="1"/>
  <c r="K13" i="1"/>
  <c r="M12" i="1"/>
  <c r="K12" i="1"/>
  <c r="M44" i="1"/>
  <c r="F33" i="1"/>
  <c r="D35" i="1"/>
  <c r="F32" i="1"/>
  <c r="F31" i="1"/>
  <c r="F30" i="1"/>
  <c r="D34" i="1"/>
  <c r="D33" i="1"/>
  <c r="D32" i="1"/>
  <c r="D31" i="1"/>
  <c r="D30" i="1"/>
  <c r="H29" i="1"/>
  <c r="F29" i="1"/>
  <c r="D29" i="1"/>
  <c r="F24" i="1"/>
  <c r="E24" i="1"/>
  <c r="F21" i="1"/>
  <c r="E21" i="1"/>
  <c r="D26" i="1"/>
  <c r="D25" i="1"/>
  <c r="H8" i="1" l="1"/>
  <c r="F10" i="1"/>
  <c r="F9" i="1"/>
  <c r="F8" i="1"/>
  <c r="D13" i="1"/>
  <c r="D12" i="1"/>
  <c r="D11" i="1"/>
  <c r="D10" i="1"/>
  <c r="D9" i="1"/>
  <c r="D8" i="1"/>
  <c r="D57" i="1" l="1"/>
  <c r="D55" i="1"/>
  <c r="D54" i="1"/>
  <c r="D53" i="1"/>
  <c r="K54" i="1"/>
  <c r="K53" i="1"/>
  <c r="K52" i="1"/>
  <c r="K51" i="1"/>
  <c r="K50" i="1"/>
  <c r="K49" i="1"/>
  <c r="K48" i="1"/>
  <c r="D51" i="1"/>
  <c r="D50" i="1"/>
  <c r="D49" i="1"/>
  <c r="D48" i="1"/>
  <c r="K45" i="1"/>
  <c r="K44" i="1"/>
  <c r="O43" i="1"/>
  <c r="M43" i="1"/>
  <c r="K43" i="1"/>
  <c r="K33" i="1"/>
  <c r="M32" i="1"/>
  <c r="K32" i="1"/>
  <c r="M31" i="1"/>
  <c r="K31" i="1"/>
  <c r="M30" i="1"/>
  <c r="K30" i="1"/>
  <c r="M29" i="1"/>
  <c r="K29" i="1"/>
  <c r="O28" i="1"/>
  <c r="M28" i="1"/>
  <c r="K28" i="1"/>
  <c r="K25" i="1"/>
  <c r="K24" i="1"/>
  <c r="M23" i="1"/>
  <c r="K23" i="1"/>
  <c r="M22" i="1"/>
  <c r="K22" i="1"/>
  <c r="M21" i="1"/>
  <c r="K21" i="1"/>
  <c r="M20" i="1"/>
  <c r="K20" i="1"/>
  <c r="O19" i="1"/>
  <c r="M19" i="1"/>
  <c r="K19" i="1"/>
  <c r="K16" i="1"/>
  <c r="M11" i="1"/>
  <c r="K11" i="1"/>
  <c r="M10" i="1"/>
  <c r="K10" i="1"/>
  <c r="M9" i="1"/>
  <c r="K9" i="1"/>
  <c r="O8" i="1"/>
  <c r="M8" i="1"/>
  <c r="K8" i="1"/>
  <c r="D42" i="1"/>
  <c r="D41" i="1"/>
  <c r="D40" i="1"/>
  <c r="D39" i="1"/>
  <c r="D38" i="1"/>
  <c r="D24" i="1"/>
  <c r="D23" i="1"/>
  <c r="D22" i="1"/>
  <c r="D21" i="1"/>
  <c r="D20" i="1"/>
  <c r="D19" i="1"/>
  <c r="F18" i="1"/>
  <c r="D18" i="1"/>
  <c r="F17" i="1"/>
  <c r="D17" i="1"/>
  <c r="H16" i="1"/>
  <c r="F16" i="1"/>
  <c r="D16" i="1"/>
  <c r="D5" i="1"/>
</calcChain>
</file>

<file path=xl/connections.xml><?xml version="1.0" encoding="utf-8"?>
<connections xmlns="http://schemas.openxmlformats.org/spreadsheetml/2006/main">
  <connection id="1" name="CPS" type="6" refreshedVersion="5" background="1" saveData="1">
    <textPr prompt="0" codePage="850" sourceFile="C:\Dashboard\Dashboard\MorningRecap\CPS.csv" tab="0" comma="1">
      <textFields count="2">
        <textField/>
        <textField/>
      </textFields>
    </textPr>
  </connection>
  <connection id="2" name="DPS" type="6" refreshedVersion="5" background="1" saveData="1">
    <textPr prompt="0" codePage="850" sourceFile="C:\Dashboard\Dashboard\MorningRecap\DPS.csv" tab="0" comma="1">
      <textFields count="2">
        <textField/>
        <textField/>
      </textFields>
    </textPr>
  </connection>
  <connection id="3" name="IC" type="6" refreshedVersion="5" background="1" saveData="1">
    <textPr prompt="0" codePage="850" sourceFile="C:\Dashboard\Dashboard\MorningRecap\IC.csv" tab="0" comma="1">
      <textFields count="2">
        <textField/>
        <textField/>
      </textFields>
    </textPr>
  </connection>
  <connection id="4" name="Inbound" type="6" refreshedVersion="5" background="1" saveData="1">
    <textPr prompt="0" codePage="850" sourceFile="C:\Dashboard\Dashboard\MorningRecap\Inbound.csv" tab="0" comma="1">
      <textFields count="2">
        <textField/>
        <textField/>
      </textFields>
    </textPr>
  </connection>
  <connection id="5" name="MPS" type="6" refreshedVersion="5" background="1" saveData="1">
    <textPr prompt="0" codePage="850" sourceFile="C:\Dashboard\Dashboard\MorningRecap\MPS.csv" tab="0" comma="1">
      <textFields count="2">
        <textField/>
        <textField/>
      </textFields>
    </textPr>
  </connection>
  <connection id="6" name="Notes" type="6" refreshedVersion="5" background="1" saveData="1">
    <textPr prompt="0" codePage="850" sourceFile="C:\Dashboard\Dashboard\MorningRecap\Notes.csv" tab="0" comma="1">
      <textFields count="2">
        <textField/>
        <textField/>
      </textFields>
    </textPr>
  </connection>
  <connection id="7" name="Offsite" type="6" refreshedVersion="5" background="1" saveData="1">
    <textPr prompt="0" codePage="850" sourceFile="C:\Dashboard\Dashboard\MorningRecap\Offsite.csv" tab="0" comma="1">
      <textFields count="2">
        <textField/>
        <textField/>
      </textFields>
    </textPr>
  </connection>
  <connection id="8" name="Repack" type="6" refreshedVersion="5" background="1" saveData="1">
    <textPr prompt="0" codePage="850" sourceFile="C:\Dashboard\Dashboard\MorningRecap\Repack.csv" tab="0" comma="1">
      <textFields count="2">
        <textField/>
        <textField/>
      </textFields>
    </textPr>
  </connection>
  <connection id="9" name="Rx" type="6" refreshedVersion="5" background="1" saveData="1">
    <textPr prompt="0" codePage="850" sourceFile="C:\Dashboard\Dashboard\MorningRecap\Rx.csv" tab="0" comma="1">
      <textFields count="2">
        <textField/>
        <textField/>
      </textFields>
    </textPr>
  </connection>
  <connection id="10" name="Shipping" type="6" refreshedVersion="5" background="1" saveData="1">
    <textPr prompt="0" codePage="850" sourceFile="C:\Dashboard\Dashboard\MorningRecap\Shipping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<sst xmlns="http://schemas.openxmlformats.org/spreadsheetml/2006/main" count="294" uniqueCount="147">
  <si>
    <t>RX</t>
  </si>
  <si>
    <t>Receving</t>
  </si>
  <si>
    <t>Work Today</t>
  </si>
  <si>
    <t>Carry</t>
  </si>
  <si>
    <t>Returns</t>
  </si>
  <si>
    <t>Live CS.</t>
  </si>
  <si>
    <t>1st</t>
  </si>
  <si>
    <t>2nd</t>
  </si>
  <si>
    <t>Drops Sch</t>
  </si>
  <si>
    <t>Drops Carry</t>
  </si>
  <si>
    <t>Containers</t>
  </si>
  <si>
    <t>OA-SL</t>
  </si>
  <si>
    <t>MFC Open</t>
  </si>
  <si>
    <t>%</t>
  </si>
  <si>
    <t>Repack</t>
  </si>
  <si>
    <t>TTL Backlog</t>
  </si>
  <si>
    <t>P7</t>
  </si>
  <si>
    <t>P6</t>
  </si>
  <si>
    <t>P4</t>
  </si>
  <si>
    <t>Prev Day EA</t>
  </si>
  <si>
    <t>Prev Day CS</t>
  </si>
  <si>
    <t>DPS</t>
  </si>
  <si>
    <t>Avail Pick</t>
  </si>
  <si>
    <t>1st Goal</t>
  </si>
  <si>
    <t>2nd Goal</t>
  </si>
  <si>
    <t>Next day Carry</t>
  </si>
  <si>
    <t>Next Day Proj</t>
  </si>
  <si>
    <t>Next day TTL</t>
  </si>
  <si>
    <t>FS</t>
  </si>
  <si>
    <t>MPS</t>
  </si>
  <si>
    <t>Picking</t>
  </si>
  <si>
    <t>Cases total</t>
  </si>
  <si>
    <t>CPS</t>
  </si>
  <si>
    <t>OB Needs</t>
  </si>
  <si>
    <t>Min Shift</t>
  </si>
  <si>
    <t>Shipping</t>
  </si>
  <si>
    <t>RTS to Load</t>
  </si>
  <si>
    <t>Next Day Loads</t>
  </si>
  <si>
    <t>1st Loads</t>
  </si>
  <si>
    <t>2nd Loads</t>
  </si>
  <si>
    <t>Stores per Route</t>
  </si>
  <si>
    <t>Offsite (Triton)</t>
  </si>
  <si>
    <t>Roccos</t>
  </si>
  <si>
    <t>Inbound loads</t>
  </si>
  <si>
    <t>Date</t>
  </si>
  <si>
    <t>Old date</t>
  </si>
  <si>
    <t>Today</t>
  </si>
  <si>
    <t>Tommorow</t>
  </si>
  <si>
    <t>To OB</t>
  </si>
  <si>
    <t>WVS ahead</t>
  </si>
  <si>
    <t>Roccos total</t>
  </si>
  <si>
    <t>Prev Day Pal</t>
  </si>
  <si>
    <t>+/- Proj</t>
  </si>
  <si>
    <t>Drops here</t>
  </si>
  <si>
    <t>Pal. of Tote</t>
  </si>
  <si>
    <t>BackHauls</t>
  </si>
  <si>
    <t>Current Wkly</t>
  </si>
  <si>
    <t>Next Day Proj.</t>
  </si>
  <si>
    <t>TTL</t>
  </si>
  <si>
    <t xml:space="preserve">MCR volume </t>
  </si>
  <si>
    <t xml:space="preserve">RFC volume </t>
  </si>
  <si>
    <t xml:space="preserve">CLS volume </t>
  </si>
  <si>
    <t>MCR/RFC/IC/
Damages</t>
  </si>
  <si>
    <t xml:space="preserve">IC status </t>
  </si>
  <si>
    <t>Roco/Pallets of Totes</t>
  </si>
  <si>
    <t xml:space="preserve">Prev. Day Utilization </t>
  </si>
  <si>
    <t>Total Cases</t>
  </si>
  <si>
    <t>Tracker Notes</t>
  </si>
  <si>
    <t>Staffing</t>
  </si>
  <si>
    <t>Notes</t>
  </si>
  <si>
    <t>Capstone</t>
  </si>
  <si>
    <t>HR</t>
  </si>
  <si>
    <t>CPH</t>
  </si>
  <si>
    <t>IT</t>
  </si>
  <si>
    <t>AS Team</t>
  </si>
  <si>
    <t>LP</t>
  </si>
  <si>
    <t>Martin</t>
  </si>
  <si>
    <t>Ryder extra Sections</t>
  </si>
  <si>
    <t>IB Manager</t>
  </si>
  <si>
    <t>CLS Routes</t>
  </si>
  <si>
    <t>Joe</t>
  </si>
  <si>
    <t xml:space="preserve">Backhauls </t>
  </si>
  <si>
    <t>OOS Trailers / Tractors</t>
  </si>
  <si>
    <t xml:space="preserve">1 trailer </t>
  </si>
  <si>
    <t>Late Routes</t>
  </si>
  <si>
    <t>Comments</t>
  </si>
  <si>
    <t>Inbound</t>
  </si>
  <si>
    <t>PPL   FS</t>
  </si>
  <si>
    <t>Rx Data Table</t>
  </si>
  <si>
    <t>Tomorrow</t>
  </si>
  <si>
    <t>Receiving</t>
  </si>
  <si>
    <t>Drops Here</t>
  </si>
  <si>
    <t>Drops Scheduled</t>
  </si>
  <si>
    <t>Pal. Of Tote</t>
  </si>
  <si>
    <t>Rocos/Pallets of Totes</t>
  </si>
  <si>
    <t>MCR Volume</t>
  </si>
  <si>
    <t>RFC Volume</t>
  </si>
  <si>
    <t>CLS Volume</t>
  </si>
  <si>
    <t>IC Status</t>
  </si>
  <si>
    <t>Available Pick</t>
  </si>
  <si>
    <t>Next Day TTL</t>
  </si>
  <si>
    <t>PPL FS</t>
  </si>
  <si>
    <t>WVS Ahead</t>
  </si>
  <si>
    <t>Previous Day Utilization</t>
  </si>
  <si>
    <t>Next Day Projection</t>
  </si>
  <si>
    <t>Cases Total</t>
  </si>
  <si>
    <t>Roccos Total</t>
  </si>
  <si>
    <t>Routes to Load</t>
  </si>
  <si>
    <t>Stores Per Route</t>
  </si>
  <si>
    <t>Inbound Loads</t>
  </si>
  <si>
    <t>Ryder Extra Sections</t>
  </si>
  <si>
    <t>Backhauls</t>
  </si>
  <si>
    <t>Prev Day Util</t>
  </si>
  <si>
    <t xml:space="preserve">Old Date </t>
  </si>
  <si>
    <t xml:space="preserve"> 05/18/2020</t>
  </si>
  <si>
    <t>Inbound Table</t>
  </si>
  <si>
    <t>Live CS</t>
  </si>
  <si>
    <t>Prev. Day Utilization</t>
  </si>
  <si>
    <t>Current Weekly</t>
  </si>
  <si>
    <t xml:space="preserve"> Long comment string</t>
  </si>
  <si>
    <t>,</t>
  </si>
  <si>
    <t>Repack Table</t>
  </si>
  <si>
    <t xml:space="preserve">Prev Day CS </t>
  </si>
  <si>
    <t xml:space="preserve"> Test Comments Here </t>
  </si>
  <si>
    <t>Offsite Table</t>
  </si>
  <si>
    <t xml:space="preserve"> Test String</t>
  </si>
  <si>
    <t>DPS Table</t>
  </si>
  <si>
    <t>Rx</t>
  </si>
  <si>
    <t xml:space="preserve"> 5/13 W5 5 Ahead </t>
  </si>
  <si>
    <t>MPS Table</t>
  </si>
  <si>
    <t xml:space="preserve"> New Test String Here</t>
  </si>
  <si>
    <t>CPS Table</t>
  </si>
  <si>
    <t xml:space="preserve"> 5/13 W3</t>
  </si>
  <si>
    <t xml:space="preserve">Comments </t>
  </si>
  <si>
    <t xml:space="preserve"> Test String Comment</t>
  </si>
  <si>
    <t xml:space="preserve"> 5/19 W1</t>
  </si>
  <si>
    <t>Shipping Table</t>
  </si>
  <si>
    <t xml:space="preserve"> New Test String Comments</t>
  </si>
  <si>
    <t>MCR/RFC/IC/Damages Table</t>
  </si>
  <si>
    <t xml:space="preserve">  Some set of Comments</t>
  </si>
  <si>
    <t>Notes Table</t>
  </si>
  <si>
    <t xml:space="preserve"> Notes Here</t>
  </si>
  <si>
    <t>Notes Here</t>
  </si>
  <si>
    <t xml:space="preserve">Notes Here </t>
  </si>
  <si>
    <t xml:space="preserve"> any value</t>
  </si>
  <si>
    <t>Change to whatever</t>
  </si>
  <si>
    <t>+/- Projections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</si>
</sst>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93">
    <xf numFmtId="0" fontId="0" fillId="0" borderId="0" xfId="0"/>
    <xf numFmtId="0" fontId="1" fillId="0" borderId="0" xfId="0" applyFont="1"/>
    <xf numFmtId="0" fontId="0" fillId="0" borderId="0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4" borderId="9" xfId="0" applyFill="1" applyBorder="1"/>
    <xf numFmtId="0" fontId="0" fillId="4" borderId="0" xfId="0" applyFill="1" applyBorder="1"/>
    <xf numFmtId="0" fontId="4" fillId="6" borderId="9" xfId="0" applyFont="1" applyFill="1" applyBorder="1" applyAlignment="1">
      <alignment horizontal="right"/>
    </xf>
    <xf numFmtId="0" fontId="4" fillId="6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4" fillId="6" borderId="3" xfId="0" applyFont="1" applyFill="1" applyBorder="1" applyAlignment="1">
      <alignment horizontal="right"/>
    </xf>
    <xf numFmtId="0" fontId="4" fillId="6" borderId="18" xfId="0" applyFont="1" applyFill="1" applyBorder="1" applyAlignment="1">
      <alignment horizontal="right"/>
    </xf>
    <xf numFmtId="0" fontId="4" fillId="6" borderId="6" xfId="0" applyFont="1" applyFill="1" applyBorder="1" applyAlignment="1">
      <alignment horizontal="right"/>
    </xf>
    <xf numFmtId="0" fontId="0" fillId="4" borderId="0" xfId="0" applyFont="1" applyFill="1" applyBorder="1"/>
    <xf numFmtId="0" fontId="4" fillId="6" borderId="11" xfId="0" applyFont="1" applyFill="1" applyBorder="1" applyAlignment="1">
      <alignment horizontal="right"/>
    </xf>
    <xf numFmtId="0" fontId="2" fillId="5" borderId="4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4" borderId="18" xfId="0" applyFill="1" applyBorder="1"/>
    <xf numFmtId="0" fontId="0" fillId="8" borderId="0" xfId="0" applyFill="1" applyAlignment="1">
      <alignment horizontal="right"/>
    </xf>
    <xf numFmtId="3" fontId="0" fillId="7" borderId="4" xfId="0" applyNumberFormat="1" applyFill="1" applyBorder="1" applyAlignment="1">
      <alignment horizontal="right"/>
    </xf>
    <xf numFmtId="3" fontId="0" fillId="7" borderId="1" xfId="0" applyNumberFormat="1" applyFill="1" applyBorder="1" applyAlignment="1">
      <alignment horizontal="right"/>
    </xf>
    <xf numFmtId="0" fontId="0" fillId="7" borderId="5" xfId="0" applyFill="1" applyBorder="1" applyAlignment="1">
      <alignment horizontal="right"/>
    </xf>
    <xf numFmtId="0" fontId="0" fillId="7" borderId="3" xfId="0" applyFill="1" applyBorder="1" applyAlignment="1">
      <alignment horizontal="right"/>
    </xf>
    <xf numFmtId="164" fontId="0" fillId="7" borderId="1" xfId="0" applyNumberFormat="1" applyFill="1" applyBorder="1" applyAlignment="1">
      <alignment horizontal="right"/>
    </xf>
    <xf numFmtId="3" fontId="0" fillId="7" borderId="6" xfId="0" applyNumberFormat="1" applyFill="1" applyBorder="1" applyAlignment="1">
      <alignment horizontal="right"/>
    </xf>
    <xf numFmtId="3" fontId="0" fillId="7" borderId="11" xfId="0" applyNumberFormat="1" applyFill="1" applyBorder="1" applyAlignment="1">
      <alignment horizontal="right"/>
    </xf>
    <xf numFmtId="14" fontId="0" fillId="7" borderId="5" xfId="0" applyNumberFormat="1" applyFill="1" applyBorder="1" applyAlignment="1">
      <alignment horizontal="right"/>
    </xf>
    <xf numFmtId="1" fontId="0" fillId="7" borderId="5" xfId="0" applyNumberFormat="1" applyFill="1" applyBorder="1" applyAlignment="1">
      <alignment horizontal="right"/>
    </xf>
    <xf numFmtId="165" fontId="0" fillId="7" borderId="20" xfId="1" applyNumberFormat="1" applyFont="1" applyFill="1" applyBorder="1" applyAlignment="1">
      <alignment horizontal="right"/>
    </xf>
    <xf numFmtId="165" fontId="0" fillId="7" borderId="1" xfId="1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5" xfId="0" applyFill="1" applyBorder="1" applyAlignment="1">
      <alignment horizontal="right"/>
    </xf>
    <xf numFmtId="0" fontId="4" fillId="6" borderId="4" xfId="0" applyFont="1" applyFill="1" applyBorder="1" applyAlignment="1">
      <alignment horizontal="right"/>
    </xf>
    <xf numFmtId="14" fontId="2" fillId="5" borderId="1" xfId="0" applyNumberFormat="1" applyFont="1" applyFill="1" applyBorder="1"/>
    <xf numFmtId="165" fontId="0" fillId="7" borderId="21" xfId="1" applyNumberFormat="1" applyFont="1" applyFill="1" applyBorder="1" applyAlignment="1">
      <alignment horizontal="right"/>
    </xf>
    <xf numFmtId="0" fontId="4" fillId="6" borderId="5" xfId="0" applyFont="1" applyFill="1" applyBorder="1" applyAlignment="1">
      <alignment horizontal="center"/>
    </xf>
    <xf numFmtId="0" fontId="0" fillId="4" borderId="0" xfId="0" applyFill="1" applyBorder="1" applyAlignment="1"/>
    <xf numFmtId="165" fontId="0" fillId="7" borderId="4" xfId="1" applyNumberFormat="1" applyFont="1" applyFill="1" applyBorder="1" applyAlignment="1">
      <alignment horizontal="right"/>
    </xf>
    <xf numFmtId="165" fontId="0" fillId="7" borderId="3" xfId="1" applyNumberFormat="1" applyFont="1" applyFill="1" applyBorder="1" applyAlignment="1">
      <alignment horizontal="right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165" fontId="0" fillId="7" borderId="17" xfId="1" applyNumberFormat="1" applyFont="1" applyFill="1" applyBorder="1" applyAlignment="1">
      <alignment horizontal="right"/>
    </xf>
    <xf numFmtId="0" fontId="4" fillId="6" borderId="13" xfId="0" applyFont="1" applyFill="1" applyBorder="1" applyAlignment="1">
      <alignment horizontal="right"/>
    </xf>
    <xf numFmtId="164" fontId="3" fillId="0" borderId="0" xfId="0" applyNumberFormat="1" applyFont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165" fontId="0" fillId="7" borderId="5" xfId="1" applyNumberFormat="1" applyFont="1" applyFill="1" applyBorder="1" applyAlignment="1">
      <alignment horizontal="right"/>
    </xf>
    <xf numFmtId="0" fontId="4" fillId="6" borderId="4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8" borderId="0" xfId="0" applyFill="1"/>
    <xf numFmtId="9" fontId="0" fillId="7" borderId="1" xfId="0" applyNumberFormat="1" applyFill="1" applyBorder="1" applyAlignment="1">
      <alignment horizontal="right"/>
    </xf>
    <xf numFmtId="0" fontId="0" fillId="7" borderId="15" xfId="0" applyFill="1" applyBorder="1" applyAlignment="1"/>
    <xf numFmtId="3" fontId="0" fillId="7" borderId="5" xfId="0" applyNumberFormat="1" applyFill="1" applyBorder="1" applyAlignment="1"/>
    <xf numFmtId="3" fontId="0" fillId="7" borderId="3" xfId="0" applyNumberFormat="1" applyFill="1" applyBorder="1" applyAlignment="1">
      <alignment horizontal="right"/>
    </xf>
    <xf numFmtId="14" fontId="0" fillId="7" borderId="1" xfId="0" applyNumberFormat="1" applyFill="1" applyBorder="1" applyAlignment="1">
      <alignment horizontal="right"/>
    </xf>
    <xf numFmtId="1" fontId="0" fillId="7" borderId="1" xfId="0" applyNumberFormat="1" applyFill="1" applyBorder="1" applyAlignment="1">
      <alignment horizontal="right"/>
    </xf>
    <xf numFmtId="3" fontId="0" fillId="7" borderId="5" xfId="0" applyNumberFormat="1" applyFill="1" applyBorder="1" applyAlignment="1">
      <alignment horizontal="right"/>
    </xf>
    <xf numFmtId="10" fontId="0" fillId="0" borderId="0" xfId="0" applyNumberFormat="1"/>
    <xf numFmtId="9" fontId="0" fillId="0" borderId="0" xfId="0" applyNumberFormat="1"/>
    <xf numFmtId="165" fontId="0" fillId="7" borderId="4" xfId="1" applyNumberFormat="1" applyFont="1" applyFill="1" applyBorder="1" applyAlignment="1">
      <alignment horizontal="center"/>
    </xf>
    <xf numFmtId="165" fontId="0" fillId="7" borderId="16" xfId="1" applyNumberFormat="1" applyFont="1" applyFill="1" applyBorder="1" applyAlignment="1">
      <alignment horizontal="center"/>
    </xf>
    <xf numFmtId="165" fontId="0" fillId="7" borderId="5" xfId="1" applyNumberFormat="1" applyFont="1" applyFill="1" applyBorder="1" applyAlignment="1">
      <alignment horizontal="center"/>
    </xf>
    <xf numFmtId="1" fontId="0" fillId="7" borderId="2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" fontId="0" fillId="7" borderId="19" xfId="0" applyNumberFormat="1" applyFont="1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0" fillId="7" borderId="22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/>
    </xf>
    <xf numFmtId="0" fontId="0" fillId="7" borderId="19" xfId="0" applyFont="1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0" fillId="8" borderId="0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4</xdr:row>
          <xdr:rowOff>85725</xdr:rowOff>
        </xdr:from>
        <xdr:to>
          <xdr:col>19</xdr:col>
          <xdr:colOff>95250</xdr:colOff>
          <xdr:row>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Update Form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57</xdr:row>
          <xdr:rowOff>38100</xdr:rowOff>
        </xdr:from>
        <xdr:to>
          <xdr:col>19</xdr:col>
          <xdr:colOff>152400</xdr:colOff>
          <xdr:row>59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79E44334-DE84-456C-9C93-3635CD6DD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Filepath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9525</xdr:rowOff>
        </xdr:from>
        <xdr:to>
          <xdr:col>6</xdr:col>
          <xdr:colOff>104775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Filepath Path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x_14" headers="0" connectionId="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Inbound_13" headers="0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Repack_13" headers="0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ffsite_14" headers="0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PS_14" headers="0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PS_14" headers="0" connectionId="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CPS_14" headers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hipping_14" headers="0" connectionId="1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IC_14" headers="0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Notes_13" headers="0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S93"/>
  <sheetViews>
    <sheetView showGridLines="0" tabSelected="1" zoomScale="85" zoomScaleNormal="85" workbookViewId="0">
      <selection activeCell="K64" sqref="K64"/>
    </sheetView>
  </sheetViews>
  <sheetFormatPr defaultRowHeight="15" x14ac:dyDescent="0.25"/>
  <cols>
    <col min="1" max="2" width="1.42578125" customWidth="1"/>
    <col min="3" max="3" width="28.42578125" customWidth="1"/>
    <col min="4" max="4" width="18.42578125" bestFit="1" customWidth="1"/>
    <col min="5" max="5" width="22.140625" bestFit="1" customWidth="1"/>
    <col min="6" max="6" width="15.140625" customWidth="1"/>
    <col min="7" max="7" width="14.140625" bestFit="1" customWidth="1"/>
    <col min="8" max="8" width="14.140625" customWidth="1"/>
    <col min="9" max="9" width="2.140625" customWidth="1"/>
    <col min="10" max="10" width="28.85546875" bestFit="1" customWidth="1"/>
    <col min="11" max="11" width="25" customWidth="1"/>
    <col min="12" max="12" width="21.140625" customWidth="1"/>
    <col min="13" max="13" width="17" customWidth="1"/>
    <col min="14" max="14" width="16.7109375" customWidth="1"/>
    <col min="16" max="17" width="2.85546875" customWidth="1"/>
  </cols>
  <sheetData>
    <row r="1" spans="1:17" ht="7.5" customHeight="1" x14ac:dyDescent="0.25">
      <c r="A1" s="55"/>
      <c r="B1" s="55"/>
      <c r="C1" s="55"/>
      <c r="D1" s="91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6"/>
      <c r="Q1" s="6"/>
    </row>
    <row r="2" spans="1:17" ht="7.5" customHeight="1" thickBot="1" x14ac:dyDescent="0.3">
      <c r="A2" s="55"/>
      <c r="B2" s="55"/>
      <c r="C2" s="55"/>
      <c r="D2" s="74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6"/>
      <c r="Q2" s="6"/>
    </row>
    <row r="3" spans="1:17" ht="18.75" customHeight="1" x14ac:dyDescent="0.25">
      <c r="A3" s="55"/>
      <c r="B3" s="55"/>
      <c r="C3" s="87" t="s">
        <v>67</v>
      </c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6"/>
      <c r="Q3" s="6"/>
    </row>
    <row r="4" spans="1:17" ht="16.5" customHeight="1" thickBot="1" x14ac:dyDescent="0.3">
      <c r="A4" s="55"/>
      <c r="B4" s="55"/>
      <c r="C4" s="89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6"/>
      <c r="Q4" s="6"/>
    </row>
    <row r="5" spans="1:17" ht="19.5" thickBot="1" x14ac:dyDescent="0.35">
      <c r="A5" s="55"/>
      <c r="B5" s="55"/>
      <c r="C5" s="8" t="s">
        <v>44</v>
      </c>
      <c r="D5" s="35">
        <f ca="1">TODAY()</f>
        <v>44006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</row>
    <row r="6" spans="1:17" ht="15.75" thickBot="1" x14ac:dyDescent="0.3">
      <c r="A6" s="55"/>
      <c r="B6" s="55"/>
      <c r="C6" s="74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6"/>
      <c r="P6" s="6"/>
      <c r="Q6" s="6"/>
    </row>
    <row r="7" spans="1:17" ht="19.5" thickBot="1" x14ac:dyDescent="0.35">
      <c r="A7" s="55"/>
      <c r="B7" s="55"/>
      <c r="C7" s="76" t="s">
        <v>0</v>
      </c>
      <c r="D7" s="77"/>
      <c r="E7" s="77"/>
      <c r="F7" s="77"/>
      <c r="G7" s="77"/>
      <c r="H7" s="78"/>
      <c r="I7" s="38"/>
      <c r="J7" s="76" t="s">
        <v>21</v>
      </c>
      <c r="K7" s="77"/>
      <c r="L7" s="77"/>
      <c r="M7" s="77"/>
      <c r="N7" s="77"/>
      <c r="O7" s="78"/>
      <c r="P7" s="6"/>
      <c r="Q7" s="6"/>
    </row>
    <row r="8" spans="1:17" ht="16.5" thickBot="1" x14ac:dyDescent="0.3">
      <c r="A8" s="55"/>
      <c r="B8" s="55"/>
      <c r="C8" s="8" t="s">
        <v>46</v>
      </c>
      <c r="D8" s="31">
        <f>RxTable!B2</f>
        <v>10</v>
      </c>
      <c r="E8" s="8" t="s">
        <v>47</v>
      </c>
      <c r="F8" s="31">
        <f>RxTable!B3</f>
        <v>8</v>
      </c>
      <c r="G8" s="8" t="s">
        <v>68</v>
      </c>
      <c r="H8" s="48">
        <f>RxTable!B4</f>
        <v>8</v>
      </c>
      <c r="I8" s="20"/>
      <c r="J8" s="8" t="s">
        <v>46</v>
      </c>
      <c r="K8" s="31">
        <f>DPSTable!B2</f>
        <v>8</v>
      </c>
      <c r="L8" s="8" t="s">
        <v>47</v>
      </c>
      <c r="M8" s="39">
        <f>DPSTable!B3</f>
        <v>8</v>
      </c>
      <c r="N8" s="34" t="s">
        <v>68</v>
      </c>
      <c r="O8" s="31">
        <f>DPSTable!B4</f>
        <v>8</v>
      </c>
      <c r="P8" s="6"/>
      <c r="Q8" s="6"/>
    </row>
    <row r="9" spans="1:17" ht="16.5" thickBot="1" x14ac:dyDescent="0.3">
      <c r="A9" s="55"/>
      <c r="B9" s="55"/>
      <c r="C9" s="7" t="s">
        <v>1</v>
      </c>
      <c r="D9" s="44">
        <f>RxTable!B5</f>
        <v>6900</v>
      </c>
      <c r="E9" s="45" t="s">
        <v>65</v>
      </c>
      <c r="F9" s="22">
        <f>RxTable!B6</f>
        <v>2500</v>
      </c>
      <c r="G9" s="2"/>
      <c r="H9" s="3"/>
      <c r="I9" s="20"/>
      <c r="J9" s="7" t="s">
        <v>22</v>
      </c>
      <c r="K9" s="22">
        <f>DPSTable!B5</f>
        <v>765285</v>
      </c>
      <c r="L9" s="8" t="s">
        <v>52</v>
      </c>
      <c r="M9" s="22">
        <f>DPSTable!B6</f>
        <v>275000</v>
      </c>
      <c r="N9" s="2"/>
      <c r="O9" s="2"/>
      <c r="P9" s="6"/>
      <c r="Q9" s="6"/>
    </row>
    <row r="10" spans="1:17" ht="16.5" thickBot="1" x14ac:dyDescent="0.3">
      <c r="A10" s="55"/>
      <c r="B10" s="55"/>
      <c r="C10" s="7" t="s">
        <v>2</v>
      </c>
      <c r="D10" s="30">
        <f>RxTable!B7</f>
        <v>1700</v>
      </c>
      <c r="E10" s="45" t="s">
        <v>45</v>
      </c>
      <c r="F10" s="28" t="str">
        <f>RxTable!B8</f>
        <v xml:space="preserve"> 05/18/2020</v>
      </c>
      <c r="G10" s="2"/>
      <c r="H10" s="3"/>
      <c r="I10" s="20"/>
      <c r="J10" s="7" t="s">
        <v>23</v>
      </c>
      <c r="K10" s="27">
        <f>DPSTable!B7</f>
        <v>300000</v>
      </c>
      <c r="L10" s="10" t="s">
        <v>48</v>
      </c>
      <c r="M10" s="28">
        <f>DPSTable!B8</f>
        <v>590392</v>
      </c>
      <c r="N10" s="2"/>
      <c r="O10" s="2"/>
      <c r="P10" s="6"/>
      <c r="Q10" s="6"/>
    </row>
    <row r="11" spans="1:17" ht="16.5" thickBot="1" x14ac:dyDescent="0.3">
      <c r="A11" s="55"/>
      <c r="B11" s="55"/>
      <c r="C11" s="7" t="s">
        <v>3</v>
      </c>
      <c r="D11" s="30" t="str">
        <f>RxTable!B9</f>
        <v xml:space="preserve"> any value</v>
      </c>
      <c r="E11" s="2"/>
      <c r="F11" s="2"/>
      <c r="G11" s="2"/>
      <c r="H11" s="3"/>
      <c r="I11" s="20"/>
      <c r="J11" s="7" t="s">
        <v>24</v>
      </c>
      <c r="K11" s="21">
        <f>DPSTable!B9</f>
        <v>275000</v>
      </c>
      <c r="L11" s="11" t="s">
        <v>49</v>
      </c>
      <c r="M11" s="29">
        <f>DPSTable!B10</f>
        <v>2</v>
      </c>
      <c r="N11" s="2"/>
      <c r="O11" s="2"/>
      <c r="P11" s="6"/>
      <c r="Q11" s="6"/>
    </row>
    <row r="12" spans="1:17" ht="16.5" thickBot="1" x14ac:dyDescent="0.3">
      <c r="A12" s="55"/>
      <c r="B12" s="55"/>
      <c r="C12" s="7" t="s">
        <v>4</v>
      </c>
      <c r="D12" s="36">
        <f>RxTable!B10</f>
        <v>53129</v>
      </c>
      <c r="E12" s="2"/>
      <c r="F12" s="2"/>
      <c r="G12" s="2"/>
      <c r="H12" s="3"/>
      <c r="I12" s="20"/>
      <c r="J12" s="7" t="s">
        <v>25</v>
      </c>
      <c r="K12" s="21">
        <f>DPSTable!B20</f>
        <v>0</v>
      </c>
      <c r="L12" s="12" t="s">
        <v>65</v>
      </c>
      <c r="M12" s="58">
        <f>DPSTable!B11</f>
        <v>63</v>
      </c>
      <c r="N12" s="2"/>
      <c r="O12" s="2"/>
      <c r="P12" s="6"/>
      <c r="Q12" s="6"/>
    </row>
    <row r="13" spans="1:17" ht="16.5" thickBot="1" x14ac:dyDescent="0.3">
      <c r="A13" s="55"/>
      <c r="B13" s="55"/>
      <c r="C13" s="7" t="s">
        <v>85</v>
      </c>
      <c r="D13" s="65" t="str">
        <f>RxTable!B11</f>
        <v>Change to whatever</v>
      </c>
      <c r="E13" s="66"/>
      <c r="F13" s="66"/>
      <c r="G13" s="66"/>
      <c r="H13" s="67"/>
      <c r="I13" s="20"/>
      <c r="J13" s="7" t="s">
        <v>26</v>
      </c>
      <c r="K13" s="22">
        <f>DPSTable!B12</f>
        <v>590392</v>
      </c>
      <c r="L13" s="2"/>
      <c r="M13" s="2"/>
      <c r="N13" s="2"/>
      <c r="O13" s="2"/>
      <c r="P13" s="6"/>
      <c r="Q13" s="6"/>
    </row>
    <row r="14" spans="1:17" ht="16.5" thickBot="1" x14ac:dyDescent="0.3">
      <c r="A14" s="55"/>
      <c r="B14" s="55"/>
      <c r="C14" s="79"/>
      <c r="D14" s="80"/>
      <c r="E14" s="80"/>
      <c r="F14" s="80"/>
      <c r="G14" s="80"/>
      <c r="H14" s="80"/>
      <c r="I14" s="20"/>
      <c r="J14" s="7" t="s">
        <v>27</v>
      </c>
      <c r="K14" s="22">
        <f>DPSTable!B13</f>
        <v>680677</v>
      </c>
      <c r="L14" s="2"/>
      <c r="M14" s="2"/>
      <c r="N14" s="2"/>
      <c r="O14" s="2"/>
      <c r="P14" s="6"/>
      <c r="Q14" s="6"/>
    </row>
    <row r="15" spans="1:17" ht="19.5" thickBot="1" x14ac:dyDescent="0.35">
      <c r="A15" s="55"/>
      <c r="B15" s="55"/>
      <c r="C15" s="76" t="s">
        <v>86</v>
      </c>
      <c r="D15" s="77"/>
      <c r="E15" s="77"/>
      <c r="F15" s="77"/>
      <c r="G15" s="77"/>
      <c r="H15" s="78"/>
      <c r="I15" s="20"/>
      <c r="J15" s="7" t="s">
        <v>87</v>
      </c>
      <c r="K15" s="59">
        <f>DPSTable!B14</f>
        <v>3.11</v>
      </c>
      <c r="L15" s="10" t="s">
        <v>0</v>
      </c>
      <c r="M15" s="24">
        <f>DPSTable!B15</f>
        <v>4.71</v>
      </c>
      <c r="N15" s="2"/>
      <c r="O15" s="2"/>
      <c r="P15" s="6"/>
      <c r="Q15" s="6"/>
    </row>
    <row r="16" spans="1:17" ht="16.5" thickBot="1" x14ac:dyDescent="0.3">
      <c r="A16" s="55"/>
      <c r="B16" s="55"/>
      <c r="C16" s="8" t="s">
        <v>46</v>
      </c>
      <c r="D16" s="31">
        <f>InboundTable!B2</f>
        <v>8</v>
      </c>
      <c r="E16" s="8" t="s">
        <v>47</v>
      </c>
      <c r="F16" s="39">
        <f>InboundTable!B3</f>
        <v>8</v>
      </c>
      <c r="G16" s="8" t="s">
        <v>68</v>
      </c>
      <c r="H16" s="31">
        <f>InboundTable!B4</f>
        <v>9</v>
      </c>
      <c r="I16" s="20"/>
      <c r="J16" s="7" t="s">
        <v>85</v>
      </c>
      <c r="K16" s="65" t="str">
        <f>DPSTable!B16</f>
        <v xml:space="preserve"> 5/13 W5 5 Ahead </v>
      </c>
      <c r="L16" s="66"/>
      <c r="M16" s="66"/>
      <c r="N16" s="66"/>
      <c r="O16" s="67"/>
      <c r="P16" s="6"/>
      <c r="Q16" s="6"/>
    </row>
    <row r="17" spans="1:19" ht="16.5" thickBot="1" x14ac:dyDescent="0.3">
      <c r="A17" s="55"/>
      <c r="B17" s="55"/>
      <c r="C17" s="7" t="s">
        <v>5</v>
      </c>
      <c r="D17" s="26">
        <f>InboundTable!B5</f>
        <v>0</v>
      </c>
      <c r="E17" s="11" t="s">
        <v>6</v>
      </c>
      <c r="F17" s="26">
        <f>InboundTable!B6</f>
        <v>0</v>
      </c>
      <c r="G17" s="2"/>
      <c r="H17" s="2"/>
      <c r="I17" s="20"/>
      <c r="J17" s="50"/>
      <c r="K17" s="51"/>
      <c r="L17" s="51"/>
      <c r="M17" s="51"/>
      <c r="N17" s="51"/>
      <c r="O17" s="51"/>
      <c r="P17" s="6"/>
      <c r="Q17" s="6"/>
    </row>
    <row r="18" spans="1:19" ht="19.5" thickBot="1" x14ac:dyDescent="0.35">
      <c r="A18" s="55"/>
      <c r="B18" s="55"/>
      <c r="C18" s="7" t="s">
        <v>65</v>
      </c>
      <c r="D18" s="9">
        <f>InboundTable!B7</f>
        <v>12</v>
      </c>
      <c r="E18" s="12" t="s">
        <v>7</v>
      </c>
      <c r="F18" s="22">
        <f>InboundTable!B8</f>
        <v>0</v>
      </c>
      <c r="G18" s="2"/>
      <c r="H18" s="2"/>
      <c r="I18" s="20"/>
      <c r="J18" s="41" t="s">
        <v>29</v>
      </c>
      <c r="K18" s="42"/>
      <c r="L18" s="42"/>
      <c r="M18" s="42"/>
      <c r="N18" s="42"/>
      <c r="O18" s="47"/>
      <c r="P18" s="6"/>
      <c r="Q18" s="6"/>
    </row>
    <row r="19" spans="1:19" ht="16.5" thickBot="1" x14ac:dyDescent="0.3">
      <c r="A19" s="55"/>
      <c r="B19" s="55"/>
      <c r="C19" s="7" t="s">
        <v>53</v>
      </c>
      <c r="D19" s="9">
        <f>InboundTable!B9</f>
        <v>0</v>
      </c>
      <c r="E19" s="49" t="s">
        <v>55</v>
      </c>
      <c r="F19" s="37"/>
      <c r="G19" s="2"/>
      <c r="H19" s="2"/>
      <c r="I19" s="20"/>
      <c r="J19" s="8" t="s">
        <v>46</v>
      </c>
      <c r="K19" s="31">
        <f>MPSTable!B2</f>
        <v>8</v>
      </c>
      <c r="L19" s="8" t="s">
        <v>47</v>
      </c>
      <c r="M19" s="39">
        <f>MPSTable!B3</f>
        <v>8</v>
      </c>
      <c r="N19" s="34" t="s">
        <v>68</v>
      </c>
      <c r="O19" s="31">
        <f>MPSTable!B4</f>
        <v>8</v>
      </c>
      <c r="P19" s="6"/>
      <c r="Q19" s="6"/>
    </row>
    <row r="20" spans="1:19" ht="16.5" thickBot="1" x14ac:dyDescent="0.3">
      <c r="A20" s="55"/>
      <c r="B20" s="55"/>
      <c r="C20" s="7" t="s">
        <v>8</v>
      </c>
      <c r="D20" s="9">
        <f>InboundTable!B10</f>
        <v>0.93400000000000005</v>
      </c>
      <c r="E20" s="7" t="s">
        <v>46</v>
      </c>
      <c r="F20" s="8" t="s">
        <v>56</v>
      </c>
      <c r="G20" s="2"/>
      <c r="H20" s="2"/>
      <c r="I20" s="20"/>
      <c r="J20" s="7" t="s">
        <v>31</v>
      </c>
      <c r="K20" s="22">
        <f>MPSTable!B5</f>
        <v>200</v>
      </c>
      <c r="L20" s="10" t="s">
        <v>48</v>
      </c>
      <c r="M20" s="22">
        <f>MPSTable!B6</f>
        <v>300</v>
      </c>
      <c r="N20" s="2"/>
      <c r="O20" s="2"/>
      <c r="P20" s="6"/>
      <c r="Q20" s="6"/>
    </row>
    <row r="21" spans="1:19" ht="16.5" thickBot="1" x14ac:dyDescent="0.3">
      <c r="A21" s="55"/>
      <c r="B21" s="55"/>
      <c r="C21" s="7" t="s">
        <v>9</v>
      </c>
      <c r="D21" s="9">
        <f>InboundTable!B11</f>
        <v>2042</v>
      </c>
      <c r="E21" s="22">
        <f>InboundTable!B17</f>
        <v>1</v>
      </c>
      <c r="F21" s="22">
        <f>InboundTable!B18</f>
        <v>2</v>
      </c>
      <c r="G21" s="2"/>
      <c r="H21" s="2"/>
      <c r="I21" s="20"/>
      <c r="J21" s="7" t="s">
        <v>23</v>
      </c>
      <c r="K21" s="22">
        <f>MPSTable!B7</f>
        <v>450</v>
      </c>
      <c r="L21" s="11" t="s">
        <v>30</v>
      </c>
      <c r="M21" s="22">
        <f>MPSTable!B8</f>
        <v>457</v>
      </c>
      <c r="N21" s="2"/>
      <c r="O21" s="2"/>
      <c r="P21" s="6"/>
      <c r="Q21" s="6"/>
    </row>
    <row r="22" spans="1:19" ht="16.5" thickBot="1" x14ac:dyDescent="0.3">
      <c r="A22" s="55"/>
      <c r="B22" s="55"/>
      <c r="C22" s="7" t="s">
        <v>10</v>
      </c>
      <c r="D22" s="56">
        <f>InboundTable!B12</f>
        <v>0.86</v>
      </c>
      <c r="E22" s="32"/>
      <c r="F22" s="33"/>
      <c r="G22" s="2"/>
      <c r="H22" s="2"/>
      <c r="I22" s="20"/>
      <c r="J22" s="7" t="s">
        <v>24</v>
      </c>
      <c r="K22" s="22">
        <f>MPSTable!B9</f>
        <v>600</v>
      </c>
      <c r="L22" s="11" t="s">
        <v>49</v>
      </c>
      <c r="M22" s="22">
        <f>MPSTable!B10</f>
        <v>2</v>
      </c>
      <c r="N22" s="2"/>
      <c r="O22" s="2"/>
      <c r="P22" s="6"/>
      <c r="Q22" s="6"/>
    </row>
    <row r="23" spans="1:19" ht="16.5" thickBot="1" x14ac:dyDescent="0.3">
      <c r="A23" s="55"/>
      <c r="B23" s="55"/>
      <c r="C23" s="7" t="s">
        <v>11</v>
      </c>
      <c r="D23" s="25">
        <f>InboundTable!B13</f>
        <v>30000</v>
      </c>
      <c r="E23" s="7" t="s">
        <v>57</v>
      </c>
      <c r="F23" s="8" t="s">
        <v>58</v>
      </c>
      <c r="G23" s="2"/>
      <c r="H23" s="2"/>
      <c r="I23" s="20"/>
      <c r="J23" s="7" t="s">
        <v>33</v>
      </c>
      <c r="K23" s="22">
        <f>MPSTable!B11</f>
        <v>500</v>
      </c>
      <c r="L23" s="12" t="s">
        <v>34</v>
      </c>
      <c r="M23" s="60">
        <f>MPSTable!B12</f>
        <v>2</v>
      </c>
      <c r="N23" s="2"/>
      <c r="O23" s="2"/>
      <c r="P23" s="6"/>
      <c r="Q23" s="6"/>
    </row>
    <row r="24" spans="1:19" ht="16.5" thickBot="1" x14ac:dyDescent="0.3">
      <c r="A24" s="55"/>
      <c r="B24" s="55"/>
      <c r="C24" s="7" t="s">
        <v>12</v>
      </c>
      <c r="D24" s="22">
        <f>InboundTable!B14</f>
        <v>500</v>
      </c>
      <c r="E24" s="9">
        <f>InboundTable!B19</f>
        <v>3</v>
      </c>
      <c r="F24" s="9">
        <f>InboundTable!B20</f>
        <v>4</v>
      </c>
      <c r="G24" s="2"/>
      <c r="H24" s="2"/>
      <c r="I24" s="20"/>
      <c r="J24" s="7" t="s">
        <v>65</v>
      </c>
      <c r="K24" s="9">
        <f>MPSTable!B13</f>
        <v>50.5</v>
      </c>
      <c r="L24" s="2"/>
      <c r="M24" s="2"/>
      <c r="N24" s="2"/>
      <c r="O24" s="2"/>
      <c r="P24" s="6"/>
      <c r="Q24" s="6"/>
    </row>
    <row r="25" spans="1:19" ht="16.5" thickBot="1" x14ac:dyDescent="0.3">
      <c r="A25" s="55"/>
      <c r="B25" s="55"/>
      <c r="C25" s="7" t="s">
        <v>13</v>
      </c>
      <c r="D25" s="22">
        <f>InboundTable!B15</f>
        <v>50</v>
      </c>
      <c r="E25" s="32"/>
      <c r="F25" s="33" t="s">
        <v>120</v>
      </c>
      <c r="G25" s="2"/>
      <c r="H25" s="2"/>
      <c r="I25" s="20"/>
      <c r="J25" s="7" t="s">
        <v>85</v>
      </c>
      <c r="K25" s="65" t="str">
        <f>MPSTable!B14</f>
        <v xml:space="preserve"> New Test String Here</v>
      </c>
      <c r="L25" s="66"/>
      <c r="M25" s="66"/>
      <c r="N25" s="66"/>
      <c r="O25" s="67"/>
      <c r="P25" s="6"/>
      <c r="Q25" s="6"/>
    </row>
    <row r="26" spans="1:19" ht="16.5" thickBot="1" x14ac:dyDescent="0.3">
      <c r="A26" s="55"/>
      <c r="B26" s="55"/>
      <c r="C26" s="7" t="s">
        <v>85</v>
      </c>
      <c r="D26" s="65" t="str">
        <f>InboundTable!B16</f>
        <v xml:space="preserve"> Long comment string</v>
      </c>
      <c r="E26" s="66"/>
      <c r="F26" s="66"/>
      <c r="G26" s="66"/>
      <c r="H26" s="67"/>
      <c r="I26" s="20"/>
      <c r="J26" s="6"/>
      <c r="K26" s="6"/>
      <c r="L26" s="6"/>
      <c r="M26" s="6"/>
      <c r="N26" s="6"/>
      <c r="O26" s="6"/>
      <c r="P26" s="6"/>
      <c r="Q26" s="6"/>
    </row>
    <row r="27" spans="1:19" ht="19.5" thickBot="1" x14ac:dyDescent="0.35">
      <c r="A27" s="55"/>
      <c r="B27" s="55"/>
      <c r="C27" s="79"/>
      <c r="D27" s="80"/>
      <c r="E27" s="80"/>
      <c r="F27" s="80"/>
      <c r="G27" s="80"/>
      <c r="H27" s="80"/>
      <c r="I27" s="20"/>
      <c r="J27" s="15" t="s">
        <v>32</v>
      </c>
      <c r="K27" s="16" t="s">
        <v>46</v>
      </c>
      <c r="L27" s="16">
        <v>8</v>
      </c>
      <c r="M27" s="16" t="s">
        <v>47</v>
      </c>
      <c r="N27" s="16">
        <v>8</v>
      </c>
      <c r="O27" s="43"/>
      <c r="P27" s="6"/>
      <c r="Q27" s="6"/>
    </row>
    <row r="28" spans="1:19" ht="19.5" thickBot="1" x14ac:dyDescent="0.35">
      <c r="A28" s="55"/>
      <c r="B28" s="55"/>
      <c r="C28" s="76" t="s">
        <v>14</v>
      </c>
      <c r="D28" s="77"/>
      <c r="E28" s="77"/>
      <c r="F28" s="77"/>
      <c r="G28" s="77"/>
      <c r="H28" s="78"/>
      <c r="I28" s="20"/>
      <c r="J28" s="8" t="s">
        <v>46</v>
      </c>
      <c r="K28" s="31">
        <f>CPSTable!B2</f>
        <v>8</v>
      </c>
      <c r="L28" s="8" t="s">
        <v>47</v>
      </c>
      <c r="M28" s="39">
        <f>CPSTable!B3</f>
        <v>8</v>
      </c>
      <c r="N28" s="34" t="s">
        <v>68</v>
      </c>
      <c r="O28" s="40">
        <f>CPSTable!B4</f>
        <v>8</v>
      </c>
      <c r="P28" s="6"/>
      <c r="Q28" s="6"/>
    </row>
    <row r="29" spans="1:19" ht="16.5" thickBot="1" x14ac:dyDescent="0.3">
      <c r="A29" s="55"/>
      <c r="B29" s="55"/>
      <c r="C29" s="8" t="s">
        <v>46</v>
      </c>
      <c r="D29" s="31">
        <f>RepackTable!B2</f>
        <v>8</v>
      </c>
      <c r="E29" s="8" t="s">
        <v>47</v>
      </c>
      <c r="F29" s="39">
        <f>RepackTable!B3</f>
        <v>8</v>
      </c>
      <c r="G29" s="8" t="s">
        <v>68</v>
      </c>
      <c r="H29" s="31">
        <f>RepackTable!B4</f>
        <v>8</v>
      </c>
      <c r="I29" s="20"/>
      <c r="J29" s="7" t="s">
        <v>50</v>
      </c>
      <c r="K29" s="9">
        <f>CPSTable!B5</f>
        <v>60</v>
      </c>
      <c r="L29" s="7" t="s">
        <v>48</v>
      </c>
      <c r="M29" s="9">
        <f>CPSTable!B6</f>
        <v>50</v>
      </c>
      <c r="N29" s="2"/>
      <c r="O29" s="3"/>
      <c r="P29" s="6"/>
      <c r="Q29" s="6"/>
      <c r="S29" s="46"/>
    </row>
    <row r="30" spans="1:19" ht="16.5" thickBot="1" x14ac:dyDescent="0.3">
      <c r="A30" s="55"/>
      <c r="B30" s="55"/>
      <c r="C30" s="7" t="s">
        <v>15</v>
      </c>
      <c r="D30" s="22">
        <f>RepackTable!B5</f>
        <v>50</v>
      </c>
      <c r="E30" s="10" t="s">
        <v>16</v>
      </c>
      <c r="F30" s="22">
        <f>RepackTable!B10</f>
        <v>7980</v>
      </c>
      <c r="G30" s="2"/>
      <c r="H30" s="2"/>
      <c r="I30" s="20"/>
      <c r="J30" s="7" t="s">
        <v>23</v>
      </c>
      <c r="K30" s="61">
        <f>CPSTable!B7</f>
        <v>40</v>
      </c>
      <c r="L30" s="7" t="s">
        <v>30</v>
      </c>
      <c r="M30" s="60" t="str">
        <f>CPSTable!B8</f>
        <v xml:space="preserve"> 5/13 W3</v>
      </c>
      <c r="N30" s="2"/>
      <c r="O30" s="3"/>
      <c r="P30" s="6"/>
      <c r="Q30" s="6"/>
    </row>
    <row r="31" spans="1:19" ht="16.5" thickBot="1" x14ac:dyDescent="0.3">
      <c r="A31" s="55"/>
      <c r="B31" s="55"/>
      <c r="C31" s="7" t="s">
        <v>19</v>
      </c>
      <c r="D31" s="22">
        <f>RepackTable!B6</f>
        <v>100</v>
      </c>
      <c r="E31" s="11" t="s">
        <v>17</v>
      </c>
      <c r="F31" s="22">
        <f>RepackTable!B11</f>
        <v>305100</v>
      </c>
      <c r="G31" s="2"/>
      <c r="I31" s="20"/>
      <c r="J31" s="7" t="s">
        <v>24</v>
      </c>
      <c r="K31" s="60" t="str">
        <f>CPSTable!B9</f>
        <v xml:space="preserve"> 5/19 W1</v>
      </c>
      <c r="L31" s="7" t="s">
        <v>49</v>
      </c>
      <c r="M31" s="9">
        <f>CPSTable!B10</f>
        <v>4</v>
      </c>
      <c r="N31" s="2"/>
      <c r="O31" s="3"/>
      <c r="P31" s="6"/>
      <c r="Q31" s="6"/>
    </row>
    <row r="32" spans="1:19" ht="16.5" thickBot="1" x14ac:dyDescent="0.3">
      <c r="A32" s="55"/>
      <c r="B32" s="55"/>
      <c r="C32" s="7" t="s">
        <v>20</v>
      </c>
      <c r="D32" s="22">
        <f>RepackTable!B7</f>
        <v>200</v>
      </c>
      <c r="E32" s="12" t="s">
        <v>18</v>
      </c>
      <c r="F32" s="22">
        <f>RepackTable!B12</f>
        <v>330000</v>
      </c>
      <c r="G32" s="2"/>
      <c r="H32" s="2"/>
      <c r="I32" s="20"/>
      <c r="J32" s="7" t="s">
        <v>33</v>
      </c>
      <c r="K32" s="9">
        <f>CPSTable!B11</f>
        <v>20</v>
      </c>
      <c r="L32" s="7" t="s">
        <v>34</v>
      </c>
      <c r="M32" s="9">
        <f>CPSTable!B12</f>
        <v>500</v>
      </c>
      <c r="N32" s="2"/>
      <c r="O32" s="3"/>
      <c r="P32" s="6"/>
      <c r="Q32" s="6"/>
    </row>
    <row r="33" spans="1:17" ht="16.5" thickBot="1" x14ac:dyDescent="0.3">
      <c r="A33" s="55"/>
      <c r="B33" s="55"/>
      <c r="C33" s="7" t="s">
        <v>51</v>
      </c>
      <c r="D33" s="22">
        <f>RepackTable!B8</f>
        <v>300</v>
      </c>
      <c r="E33" s="8" t="s">
        <v>64</v>
      </c>
      <c r="F33" s="22">
        <f>RepackTable!B13</f>
        <v>400</v>
      </c>
      <c r="G33" s="2"/>
      <c r="H33" s="2"/>
      <c r="I33" s="20"/>
      <c r="J33" s="14" t="s">
        <v>85</v>
      </c>
      <c r="K33" s="65" t="str">
        <f>CPSTable!B13</f>
        <v xml:space="preserve"> Test String Comment</v>
      </c>
      <c r="L33" s="66"/>
      <c r="M33" s="66"/>
      <c r="N33" s="66"/>
      <c r="O33" s="67"/>
      <c r="P33" s="6"/>
      <c r="Q33" s="6"/>
    </row>
    <row r="34" spans="1:17" ht="16.5" thickBot="1" x14ac:dyDescent="0.3">
      <c r="A34" s="55"/>
      <c r="B34" s="55"/>
      <c r="C34" s="7" t="s">
        <v>54</v>
      </c>
      <c r="D34" s="22">
        <f>RepackTable!B9</f>
        <v>400</v>
      </c>
      <c r="H34" s="2"/>
      <c r="I34" s="20"/>
      <c r="J34" s="6"/>
      <c r="K34" s="6"/>
      <c r="L34" s="6"/>
      <c r="M34" s="6"/>
      <c r="N34" s="6"/>
      <c r="O34" s="6"/>
      <c r="P34" s="6"/>
      <c r="Q34" s="6"/>
    </row>
    <row r="35" spans="1:17" ht="19.5" thickBot="1" x14ac:dyDescent="0.35">
      <c r="A35" s="55"/>
      <c r="B35" s="55"/>
      <c r="C35" s="7" t="s">
        <v>85</v>
      </c>
      <c r="D35" s="65" t="str">
        <f>RepackTable!B14</f>
        <v xml:space="preserve"> Test Comments Here </v>
      </c>
      <c r="E35" s="66"/>
      <c r="F35" s="66"/>
      <c r="G35" s="66"/>
      <c r="H35" s="67"/>
      <c r="I35" s="20"/>
      <c r="J35" s="15" t="s">
        <v>35</v>
      </c>
      <c r="K35" s="16" t="s">
        <v>46</v>
      </c>
      <c r="L35" s="16">
        <v>8</v>
      </c>
      <c r="M35" s="16" t="s">
        <v>47</v>
      </c>
      <c r="N35" s="16">
        <v>8</v>
      </c>
      <c r="O35" s="43"/>
      <c r="P35" s="6"/>
      <c r="Q35" s="6"/>
    </row>
    <row r="36" spans="1:17" ht="16.5" thickBot="1" x14ac:dyDescent="0.3">
      <c r="A36" s="55"/>
      <c r="B36" s="55"/>
      <c r="C36" s="5"/>
      <c r="D36" s="6"/>
      <c r="E36" s="6"/>
      <c r="F36" s="6"/>
      <c r="G36" s="6"/>
      <c r="H36" s="6"/>
      <c r="I36" s="20"/>
      <c r="J36" s="8" t="s">
        <v>46</v>
      </c>
      <c r="K36" s="31">
        <f>ShippingTable!B2</f>
        <v>8</v>
      </c>
      <c r="L36" s="8" t="s">
        <v>47</v>
      </c>
      <c r="M36" s="39">
        <f>ShippingTable!B3</f>
        <v>8</v>
      </c>
      <c r="N36" s="34" t="s">
        <v>68</v>
      </c>
      <c r="O36" s="40">
        <f>ShippingTable!B4</f>
        <v>8</v>
      </c>
      <c r="P36" s="6"/>
      <c r="Q36" s="6"/>
    </row>
    <row r="37" spans="1:17" ht="20.25" customHeight="1" thickBot="1" x14ac:dyDescent="0.35">
      <c r="A37" s="55"/>
      <c r="B37" s="55"/>
      <c r="C37" s="76" t="s">
        <v>62</v>
      </c>
      <c r="D37" s="77" t="s">
        <v>63</v>
      </c>
      <c r="E37" s="77"/>
      <c r="F37" s="77"/>
      <c r="G37" s="77"/>
      <c r="H37" s="78"/>
      <c r="I37" s="20"/>
      <c r="J37" s="7" t="s">
        <v>36</v>
      </c>
      <c r="K37" s="9">
        <f>ShippingTable!B5</f>
        <v>2</v>
      </c>
      <c r="L37" s="10" t="s">
        <v>37</v>
      </c>
      <c r="M37" s="9">
        <f>ShippingTable!B6</f>
        <v>5</v>
      </c>
      <c r="N37" s="2"/>
      <c r="O37" s="3"/>
      <c r="P37" s="6"/>
      <c r="Q37" s="6"/>
    </row>
    <row r="38" spans="1:17" ht="20.25" customHeight="1" thickBot="1" x14ac:dyDescent="0.3">
      <c r="A38" s="55"/>
      <c r="B38" s="55"/>
      <c r="C38" s="7" t="s">
        <v>59</v>
      </c>
      <c r="D38" s="57">
        <f>ICTable!B2</f>
        <v>100</v>
      </c>
      <c r="E38" s="2"/>
      <c r="G38" s="2"/>
      <c r="I38" s="20"/>
      <c r="J38" s="7" t="s">
        <v>38</v>
      </c>
      <c r="K38" s="9">
        <f>ShippingTable!B7</f>
        <v>3</v>
      </c>
      <c r="L38" s="12" t="s">
        <v>40</v>
      </c>
      <c r="M38" s="9">
        <f>ShippingTable!B8</f>
        <v>4</v>
      </c>
      <c r="N38" s="2"/>
      <c r="O38" s="3"/>
      <c r="P38" s="6"/>
      <c r="Q38" s="6"/>
    </row>
    <row r="39" spans="1:17" ht="20.25" customHeight="1" thickBot="1" x14ac:dyDescent="0.3">
      <c r="A39" s="55"/>
      <c r="B39" s="55"/>
      <c r="C39" s="7" t="s">
        <v>60</v>
      </c>
      <c r="D39" s="57">
        <f>ICTable!B3</f>
        <v>250</v>
      </c>
      <c r="E39" s="2"/>
      <c r="F39" s="2"/>
      <c r="G39" s="2"/>
      <c r="H39" s="2"/>
      <c r="I39" s="20"/>
      <c r="J39" s="7" t="s">
        <v>39</v>
      </c>
      <c r="K39" s="9">
        <f>ShippingTable!B9</f>
        <v>10</v>
      </c>
      <c r="L39" s="2"/>
      <c r="M39" s="2"/>
      <c r="N39" s="2"/>
      <c r="O39" s="3"/>
      <c r="P39" s="6"/>
      <c r="Q39" s="6"/>
    </row>
    <row r="40" spans="1:17" ht="20.25" customHeight="1" thickBot="1" x14ac:dyDescent="0.3">
      <c r="A40" s="55"/>
      <c r="B40" s="55"/>
      <c r="C40" s="7" t="s">
        <v>61</v>
      </c>
      <c r="D40" s="57">
        <f>ICTable!B4</f>
        <v>150</v>
      </c>
      <c r="E40" s="2"/>
      <c r="F40" s="2"/>
      <c r="G40" s="2"/>
      <c r="H40" s="2"/>
      <c r="I40" s="20"/>
      <c r="J40" s="14" t="s">
        <v>85</v>
      </c>
      <c r="K40" s="65" t="str">
        <f>ShippingTable!B10</f>
        <v xml:space="preserve"> New Test String Comments</v>
      </c>
      <c r="L40" s="66"/>
      <c r="M40" s="66"/>
      <c r="N40" s="66"/>
      <c r="O40" s="67"/>
      <c r="P40" s="6"/>
      <c r="Q40" s="6"/>
    </row>
    <row r="41" spans="1:17" ht="20.25" customHeight="1" thickBot="1" x14ac:dyDescent="0.3">
      <c r="A41" s="55"/>
      <c r="B41" s="55"/>
      <c r="C41" s="7" t="s">
        <v>63</v>
      </c>
      <c r="D41" s="57">
        <f>ICTable!B5</f>
        <v>125</v>
      </c>
      <c r="F41" s="2"/>
      <c r="H41" s="2"/>
      <c r="I41" s="20"/>
      <c r="J41" s="6"/>
      <c r="K41" s="6"/>
      <c r="L41" s="6"/>
      <c r="M41" s="6"/>
      <c r="N41" s="6"/>
      <c r="O41" s="6"/>
      <c r="P41" s="6"/>
      <c r="Q41" s="6"/>
    </row>
    <row r="42" spans="1:17" ht="20.25" customHeight="1" thickBot="1" x14ac:dyDescent="0.35">
      <c r="A42" s="55"/>
      <c r="B42" s="55"/>
      <c r="C42" s="14" t="s">
        <v>85</v>
      </c>
      <c r="D42" s="65" t="str">
        <f>ICTable!B6</f>
        <v xml:space="preserve">  Some set of Comments</v>
      </c>
      <c r="E42" s="66"/>
      <c r="F42" s="66"/>
      <c r="G42" s="66"/>
      <c r="H42" s="67"/>
      <c r="I42" s="20"/>
      <c r="J42" s="15" t="s">
        <v>41</v>
      </c>
      <c r="K42" s="16"/>
      <c r="L42" s="16"/>
      <c r="M42" s="16"/>
      <c r="N42" s="16"/>
      <c r="O42" s="43"/>
      <c r="P42" s="6"/>
      <c r="Q42" s="6"/>
    </row>
    <row r="43" spans="1:17" ht="20.25" customHeight="1" thickBot="1" x14ac:dyDescent="0.3">
      <c r="A43" s="55"/>
      <c r="B43" s="55"/>
      <c r="C43" s="6"/>
      <c r="D43" s="6"/>
      <c r="E43" s="6"/>
      <c r="F43" s="6"/>
      <c r="G43" s="6"/>
      <c r="H43" s="6"/>
      <c r="I43" s="20"/>
      <c r="J43" s="8" t="s">
        <v>46</v>
      </c>
      <c r="K43" s="31">
        <f>OffsiteTable!B2</f>
        <v>8</v>
      </c>
      <c r="L43" s="8" t="s">
        <v>47</v>
      </c>
      <c r="M43" s="39">
        <f>OffsiteTable!B3</f>
        <v>8</v>
      </c>
      <c r="N43" s="8" t="s">
        <v>68</v>
      </c>
      <c r="O43" s="31">
        <f>OffsiteTable!B4</f>
        <v>8</v>
      </c>
      <c r="P43" s="6"/>
      <c r="Q43" s="6"/>
    </row>
    <row r="44" spans="1:17" ht="20.25" customHeight="1" thickBot="1" x14ac:dyDescent="0.3">
      <c r="A44" s="55"/>
      <c r="B44" s="55"/>
      <c r="C44" s="6"/>
      <c r="D44" s="6"/>
      <c r="E44" s="6"/>
      <c r="F44" s="6"/>
      <c r="G44" s="6"/>
      <c r="H44" s="6"/>
      <c r="I44" s="20"/>
      <c r="J44" s="10" t="s">
        <v>42</v>
      </c>
      <c r="K44" s="23">
        <f>OffsiteTable!B5</f>
        <v>200</v>
      </c>
      <c r="L44" s="11" t="s">
        <v>43</v>
      </c>
      <c r="M44" s="62">
        <f>OffsiteTable!B6</f>
        <v>5</v>
      </c>
      <c r="N44" s="53"/>
      <c r="O44" s="54"/>
      <c r="P44" s="6"/>
      <c r="Q44" s="6"/>
    </row>
    <row r="45" spans="1:17" ht="20.25" customHeight="1" thickBot="1" x14ac:dyDescent="0.3">
      <c r="A45" s="55"/>
      <c r="B45" s="55"/>
      <c r="C45" s="6"/>
      <c r="D45" s="6"/>
      <c r="E45" s="6"/>
      <c r="F45" s="6"/>
      <c r="G45" s="6"/>
      <c r="H45" s="6"/>
      <c r="I45" s="20"/>
      <c r="J45" s="11" t="s">
        <v>85</v>
      </c>
      <c r="K45" s="65" t="str">
        <f>OffsiteTable!B7</f>
        <v xml:space="preserve"> Test String</v>
      </c>
      <c r="L45" s="66"/>
      <c r="M45" s="66"/>
      <c r="N45" s="66"/>
      <c r="O45" s="67"/>
      <c r="P45" s="6"/>
      <c r="Q45" s="6"/>
    </row>
    <row r="46" spans="1:17" ht="20.25" customHeight="1" thickBot="1" x14ac:dyDescent="0.3">
      <c r="A46" s="55"/>
      <c r="B46" s="55"/>
      <c r="C46" s="6"/>
      <c r="D46" s="6"/>
      <c r="E46" s="6"/>
      <c r="F46" s="6"/>
      <c r="G46" s="6"/>
      <c r="H46" s="6"/>
      <c r="I46" s="20"/>
      <c r="J46" s="6"/>
      <c r="K46" s="6"/>
      <c r="L46" s="6"/>
      <c r="M46" s="6"/>
      <c r="N46" s="6"/>
      <c r="O46" s="6"/>
      <c r="P46" s="6"/>
      <c r="Q46" s="6"/>
    </row>
    <row r="47" spans="1:17" ht="20.25" customHeight="1" thickBot="1" x14ac:dyDescent="0.35">
      <c r="A47" s="55"/>
      <c r="B47" s="55"/>
      <c r="C47" s="52" t="s">
        <v>69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43"/>
      <c r="P47" s="6"/>
      <c r="Q47" s="6"/>
    </row>
    <row r="48" spans="1:17" ht="15.75" x14ac:dyDescent="0.25">
      <c r="A48" s="55"/>
      <c r="B48" s="55"/>
      <c r="C48" s="10" t="s">
        <v>70</v>
      </c>
      <c r="D48" s="84" t="str">
        <f>Notes!B2</f>
        <v xml:space="preserve"> Notes Here</v>
      </c>
      <c r="E48" s="85"/>
      <c r="F48" s="85"/>
      <c r="G48" s="85"/>
      <c r="H48" s="86"/>
      <c r="I48" s="6"/>
      <c r="J48" s="10" t="s">
        <v>71</v>
      </c>
      <c r="K48" s="84" t="str">
        <f>Notes!B6</f>
        <v xml:space="preserve"> Notes Here</v>
      </c>
      <c r="L48" s="85"/>
      <c r="M48" s="85"/>
      <c r="N48" s="85"/>
      <c r="O48" s="86"/>
      <c r="P48" s="6"/>
      <c r="Q48" s="6"/>
    </row>
    <row r="49" spans="1:17" ht="15.75" x14ac:dyDescent="0.25">
      <c r="A49" s="55"/>
      <c r="B49" s="55"/>
      <c r="C49" s="11" t="s">
        <v>72</v>
      </c>
      <c r="D49" s="81" t="str">
        <f>Notes!B3</f>
        <v xml:space="preserve"> Notes Here</v>
      </c>
      <c r="E49" s="82"/>
      <c r="F49" s="82"/>
      <c r="G49" s="82"/>
      <c r="H49" s="83"/>
      <c r="I49" s="6"/>
      <c r="J49" s="11" t="s">
        <v>73</v>
      </c>
      <c r="K49" s="71" t="str">
        <f>Notes!B7</f>
        <v xml:space="preserve"> Notes Here</v>
      </c>
      <c r="L49" s="72"/>
      <c r="M49" s="72"/>
      <c r="N49" s="72"/>
      <c r="O49" s="73"/>
      <c r="P49" s="6"/>
      <c r="Q49" s="6"/>
    </row>
    <row r="50" spans="1:17" ht="15.75" x14ac:dyDescent="0.25">
      <c r="A50" s="55"/>
      <c r="B50" s="55"/>
      <c r="C50" s="11" t="s">
        <v>66</v>
      </c>
      <c r="D50" s="81" t="str">
        <f>Notes!B4</f>
        <v>Notes Here</v>
      </c>
      <c r="E50" s="82"/>
      <c r="F50" s="82"/>
      <c r="G50" s="82"/>
      <c r="H50" s="83"/>
      <c r="I50" s="6"/>
      <c r="J50" s="11" t="s">
        <v>28</v>
      </c>
      <c r="K50" s="71" t="str">
        <f>Notes!B8</f>
        <v xml:space="preserve"> Notes Here</v>
      </c>
      <c r="L50" s="72"/>
      <c r="M50" s="72"/>
      <c r="N50" s="72"/>
      <c r="O50" s="73"/>
      <c r="P50" s="6"/>
      <c r="Q50" s="6"/>
    </row>
    <row r="51" spans="1:17" ht="16.5" thickBot="1" x14ac:dyDescent="0.3">
      <c r="A51" s="55"/>
      <c r="B51" s="55"/>
      <c r="C51" s="12" t="s">
        <v>74</v>
      </c>
      <c r="D51" s="71" t="str">
        <f>Notes!B5</f>
        <v>Notes Here</v>
      </c>
      <c r="E51" s="72"/>
      <c r="F51" s="72"/>
      <c r="G51" s="72"/>
      <c r="H51" s="73"/>
      <c r="I51" s="6"/>
      <c r="J51" s="11" t="s">
        <v>75</v>
      </c>
      <c r="K51" s="71" t="str">
        <f>Notes!B9</f>
        <v xml:space="preserve"> Notes Here</v>
      </c>
      <c r="L51" s="72"/>
      <c r="M51" s="72"/>
      <c r="N51" s="72"/>
      <c r="O51" s="73"/>
      <c r="P51" s="6"/>
      <c r="Q51" s="6"/>
    </row>
    <row r="52" spans="1:17" ht="16.5" thickBot="1" x14ac:dyDescent="0.3">
      <c r="A52" s="55"/>
      <c r="B52" s="55"/>
      <c r="C52" s="19"/>
      <c r="D52" s="13"/>
      <c r="E52" s="4"/>
      <c r="F52" s="4"/>
      <c r="G52" s="4"/>
      <c r="H52" s="4"/>
      <c r="I52" s="4"/>
      <c r="J52" s="11" t="s">
        <v>76</v>
      </c>
      <c r="K52" s="71" t="str">
        <f>Notes!B10</f>
        <v xml:space="preserve">Notes Here </v>
      </c>
      <c r="L52" s="72"/>
      <c r="M52" s="72"/>
      <c r="N52" s="72"/>
      <c r="O52" s="73"/>
      <c r="P52" s="6"/>
      <c r="Q52" s="6"/>
    </row>
    <row r="53" spans="1:17" ht="15.75" x14ac:dyDescent="0.25">
      <c r="A53" s="55"/>
      <c r="B53" s="55"/>
      <c r="C53" s="10" t="s">
        <v>77</v>
      </c>
      <c r="D53" s="71" t="str">
        <f>Notes!B13</f>
        <v xml:space="preserve"> Notes Here</v>
      </c>
      <c r="E53" s="72"/>
      <c r="F53" s="72"/>
      <c r="G53" s="72"/>
      <c r="H53" s="73"/>
      <c r="I53" s="6"/>
      <c r="J53" s="11" t="s">
        <v>78</v>
      </c>
      <c r="K53" s="68" t="str">
        <f>Notes!B11</f>
        <v xml:space="preserve"> Notes Here</v>
      </c>
      <c r="L53" s="69"/>
      <c r="M53" s="69"/>
      <c r="N53" s="69"/>
      <c r="O53" s="70"/>
      <c r="P53" s="6"/>
      <c r="Q53" s="6"/>
    </row>
    <row r="54" spans="1:17" ht="16.5" thickBot="1" x14ac:dyDescent="0.3">
      <c r="A54" s="55"/>
      <c r="B54" s="55"/>
      <c r="C54" s="11" t="s">
        <v>79</v>
      </c>
      <c r="D54" s="71" t="str">
        <f>Notes!B14</f>
        <v xml:space="preserve"> Notes Here</v>
      </c>
      <c r="E54" s="72"/>
      <c r="F54" s="72"/>
      <c r="G54" s="72"/>
      <c r="H54" s="73"/>
      <c r="I54" s="6"/>
      <c r="J54" s="12" t="s">
        <v>80</v>
      </c>
      <c r="K54" s="71" t="str">
        <f>Notes!B12</f>
        <v xml:space="preserve"> Notes Here</v>
      </c>
      <c r="L54" s="72"/>
      <c r="M54" s="72"/>
      <c r="N54" s="72"/>
      <c r="O54" s="73"/>
      <c r="P54" s="6"/>
      <c r="Q54" s="6"/>
    </row>
    <row r="55" spans="1:17" ht="15.75" x14ac:dyDescent="0.25">
      <c r="A55" s="55"/>
      <c r="B55" s="55"/>
      <c r="C55" s="11" t="s">
        <v>81</v>
      </c>
      <c r="D55" s="71" t="str">
        <f>Notes!B15</f>
        <v xml:space="preserve"> Notes Here</v>
      </c>
      <c r="E55" s="72"/>
      <c r="F55" s="72"/>
      <c r="G55" s="72"/>
      <c r="H55" s="73"/>
      <c r="I55" s="6"/>
      <c r="J55" s="6"/>
      <c r="K55" s="6"/>
      <c r="L55" s="6"/>
      <c r="M55" s="6"/>
      <c r="N55" s="6"/>
      <c r="O55" s="6"/>
      <c r="P55" s="6"/>
      <c r="Q55" s="6"/>
    </row>
    <row r="56" spans="1:17" ht="7.5" hidden="1" customHeight="1" x14ac:dyDescent="0.25">
      <c r="A56" s="55"/>
      <c r="B56" s="55"/>
      <c r="C56" s="11" t="s">
        <v>82</v>
      </c>
      <c r="D56" s="17" t="s">
        <v>83</v>
      </c>
      <c r="E56" s="17"/>
      <c r="F56" s="17"/>
      <c r="G56" s="17"/>
      <c r="H56" s="18"/>
      <c r="I56" s="6"/>
      <c r="J56" s="6"/>
      <c r="K56" s="6"/>
      <c r="L56" s="6"/>
      <c r="M56" s="6"/>
      <c r="N56" s="6"/>
      <c r="O56" s="6"/>
      <c r="P56" s="6"/>
      <c r="Q56" s="6"/>
    </row>
    <row r="57" spans="1:17" ht="16.5" thickBot="1" x14ac:dyDescent="0.3">
      <c r="A57" s="55"/>
      <c r="B57" s="55"/>
      <c r="C57" s="12" t="s">
        <v>84</v>
      </c>
      <c r="D57" s="72" t="str">
        <f>Notes!B16</f>
        <v xml:space="preserve"> Notes Here</v>
      </c>
      <c r="E57" s="72"/>
      <c r="F57" s="72"/>
      <c r="G57" s="72"/>
      <c r="H57" s="73"/>
      <c r="I57" s="6"/>
      <c r="J57" s="6"/>
      <c r="K57" s="6"/>
      <c r="L57" s="6"/>
      <c r="M57" s="6"/>
      <c r="N57" s="6"/>
      <c r="O57" s="6"/>
      <c r="P57" s="6"/>
      <c r="Q57" s="6"/>
    </row>
    <row r="58" spans="1:17" x14ac:dyDescent="0.25">
      <c r="A58" s="55"/>
      <c r="B58" s="5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spans="1:17" ht="0.75" customHeight="1" x14ac:dyDescent="0.25">
      <c r="A59" s="55"/>
      <c r="B59" s="55"/>
      <c r="K59" s="6"/>
      <c r="L59" s="6"/>
      <c r="M59" s="6"/>
      <c r="N59" s="6"/>
      <c r="O59" s="6"/>
      <c r="P59" s="6"/>
      <c r="Q59" s="6"/>
    </row>
    <row r="60" spans="1:17" x14ac:dyDescent="0.25">
      <c r="A60" s="55"/>
      <c r="B60" s="5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  <row r="61" spans="1:17" ht="23.25" customHeight="1" x14ac:dyDescent="0.25"/>
    <row r="93" spans="3:3" x14ac:dyDescent="0.25">
      <c r="C93" s="1"/>
    </row>
  </sheetData>
  <mergeCells count="35">
    <mergeCell ref="C3:O4"/>
    <mergeCell ref="D1:O1"/>
    <mergeCell ref="D2:O2"/>
    <mergeCell ref="D42:H42"/>
    <mergeCell ref="C7:H7"/>
    <mergeCell ref="C15:H15"/>
    <mergeCell ref="D35:H35"/>
    <mergeCell ref="C37:H37"/>
    <mergeCell ref="K16:O16"/>
    <mergeCell ref="K25:O25"/>
    <mergeCell ref="K33:O33"/>
    <mergeCell ref="K40:O40"/>
    <mergeCell ref="D53:H53"/>
    <mergeCell ref="D54:H54"/>
    <mergeCell ref="D55:H55"/>
    <mergeCell ref="D57:H57"/>
    <mergeCell ref="C6:N6"/>
    <mergeCell ref="C28:H28"/>
    <mergeCell ref="C14:H14"/>
    <mergeCell ref="D26:H26"/>
    <mergeCell ref="C27:H27"/>
    <mergeCell ref="J7:O7"/>
    <mergeCell ref="D13:H13"/>
    <mergeCell ref="D49:H49"/>
    <mergeCell ref="D50:H50"/>
    <mergeCell ref="D51:H51"/>
    <mergeCell ref="K48:O48"/>
    <mergeCell ref="D48:H48"/>
    <mergeCell ref="K45:O45"/>
    <mergeCell ref="K53:O53"/>
    <mergeCell ref="K54:O54"/>
    <mergeCell ref="K51:O51"/>
    <mergeCell ref="K49:O49"/>
    <mergeCell ref="K50:O50"/>
    <mergeCell ref="K52:O52"/>
  </mergeCells>
  <pageMargins left="0.25" right="0.25" top="0.75" bottom="0.75" header="0.3" footer="0.3"/>
  <pageSetup scale="43" orientation="portrait" horizontalDpi="300" verticalDpi="300" r:id="rId1"/>
  <rowBreaks count="1" manualBreakCount="1">
    <brk id="38" min="2" max="12" man="1"/>
  </rowBreaks>
  <colBreaks count="1" manualBreakCount="1">
    <brk id="9" min="2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Button">
                <anchor moveWithCells="1">
                  <from>
                    <xdr:col>17</xdr:col>
                    <xdr:colOff>38100</xdr:colOff>
                    <xdr:row>4</xdr:row>
                    <xdr:rowOff>85725</xdr:rowOff>
                  </from>
                  <to>
                    <xdr:col>19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AllConnections">
                <anchor moveWithCells="1">
                  <from>
                    <xdr:col>17</xdr:col>
                    <xdr:colOff>47625</xdr:colOff>
                    <xdr:row>57</xdr:row>
                    <xdr:rowOff>38100</xdr:rowOff>
                  </from>
                  <to>
                    <xdr:col>19</xdr:col>
                    <xdr:colOff>152400</xdr:colOff>
                    <xdr:row>59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G18" sqref="G18"/>
    </sheetView>
  </sheetViews>
  <sheetFormatPr defaultRowHeight="15" x14ac:dyDescent="0.25"/>
  <cols>
    <col min="1" max="1" width="12.85546875" bestFit="1" customWidth="1"/>
    <col min="2" max="2" width="19" bestFit="1" customWidth="1"/>
    <col min="3" max="3" width="16.85546875" bestFit="1" customWidth="1"/>
    <col min="4" max="4" width="56.5703125" bestFit="1" customWidth="1"/>
  </cols>
  <sheetData>
    <row r="1" spans="1:2" x14ac:dyDescent="0.25">
      <c r="A1" t="s">
        <v>88</v>
      </c>
    </row>
    <row r="2" spans="1:2" x14ac:dyDescent="0.25">
      <c r="A2" t="s">
        <v>46</v>
      </c>
      <c r="B2">
        <v>10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90</v>
      </c>
      <c r="B5">
        <v>6900</v>
      </c>
    </row>
    <row r="6" spans="1:2" x14ac:dyDescent="0.25">
      <c r="A6" t="s">
        <v>112</v>
      </c>
      <c r="B6">
        <v>2500</v>
      </c>
    </row>
    <row r="7" spans="1:2" x14ac:dyDescent="0.25">
      <c r="A7" t="s">
        <v>2</v>
      </c>
      <c r="B7">
        <v>1700</v>
      </c>
    </row>
    <row r="8" spans="1:2" x14ac:dyDescent="0.25">
      <c r="A8" t="s">
        <v>113</v>
      </c>
      <c r="B8" t="s">
        <v>114</v>
      </c>
    </row>
    <row r="9" spans="1:2" x14ac:dyDescent="0.25">
      <c r="A9" t="s">
        <v>3</v>
      </c>
      <c r="B9" t="s">
        <v>144</v>
      </c>
    </row>
    <row r="10" spans="1:2" x14ac:dyDescent="0.25">
      <c r="A10" t="s">
        <v>4</v>
      </c>
      <c r="B10">
        <v>53129</v>
      </c>
    </row>
    <row r="11" spans="1:2" x14ac:dyDescent="0.25">
      <c r="A11" t="s">
        <v>85</v>
      </c>
      <c r="B11" t="s">
        <v>145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AllConnections">
                <anchor mov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104775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0"/>
  <sheetViews>
    <sheetView workbookViewId="0">
      <selection activeCell="I7" sqref="I7"/>
    </sheetView>
  </sheetViews>
  <sheetFormatPr defaultRowHeight="15" x14ac:dyDescent="0.25"/>
  <cols>
    <col min="1" max="1" width="19.140625" bestFit="1" customWidth="1"/>
    <col min="2" max="2" width="20.140625" bestFit="1" customWidth="1"/>
  </cols>
  <sheetData>
    <row r="1" spans="1:2" x14ac:dyDescent="0.25">
      <c r="A1" t="s">
        <v>115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9</v>
      </c>
    </row>
    <row r="5" spans="1:2" x14ac:dyDescent="0.25">
      <c r="A5" t="s">
        <v>116</v>
      </c>
      <c r="B5">
        <v>0</v>
      </c>
    </row>
    <row r="6" spans="1:2" x14ac:dyDescent="0.25">
      <c r="A6" t="s">
        <v>6</v>
      </c>
      <c r="B6">
        <v>0</v>
      </c>
    </row>
    <row r="7" spans="1:2" x14ac:dyDescent="0.25">
      <c r="A7" t="s">
        <v>117</v>
      </c>
      <c r="B7">
        <v>12</v>
      </c>
    </row>
    <row r="8" spans="1:2" x14ac:dyDescent="0.25">
      <c r="A8" t="s">
        <v>7</v>
      </c>
      <c r="B8">
        <v>0</v>
      </c>
    </row>
    <row r="9" spans="1:2" x14ac:dyDescent="0.25">
      <c r="A9" t="s">
        <v>91</v>
      </c>
      <c r="B9">
        <v>0</v>
      </c>
    </row>
    <row r="10" spans="1:2" x14ac:dyDescent="0.25">
      <c r="A10" t="s">
        <v>92</v>
      </c>
      <c r="B10" s="63">
        <v>0.93400000000000005</v>
      </c>
    </row>
    <row r="11" spans="1:2" x14ac:dyDescent="0.25">
      <c r="A11" t="s">
        <v>9</v>
      </c>
      <c r="B11">
        <v>2042</v>
      </c>
    </row>
    <row r="12" spans="1:2" x14ac:dyDescent="0.25">
      <c r="A12" t="s">
        <v>10</v>
      </c>
      <c r="B12" s="64">
        <v>0.86</v>
      </c>
    </row>
    <row r="13" spans="1:2" x14ac:dyDescent="0.25">
      <c r="A13" t="s">
        <v>11</v>
      </c>
      <c r="B13">
        <v>30000</v>
      </c>
    </row>
    <row r="14" spans="1:2" x14ac:dyDescent="0.25">
      <c r="A14" t="s">
        <v>12</v>
      </c>
      <c r="B14">
        <v>500</v>
      </c>
    </row>
    <row r="15" spans="1:2" x14ac:dyDescent="0.25">
      <c r="A15" t="s">
        <v>13</v>
      </c>
      <c r="B15">
        <v>50</v>
      </c>
    </row>
    <row r="16" spans="1:2" x14ac:dyDescent="0.25">
      <c r="A16" t="s">
        <v>85</v>
      </c>
      <c r="B16" t="s">
        <v>119</v>
      </c>
    </row>
    <row r="17" spans="1:2" x14ac:dyDescent="0.25">
      <c r="A17" t="s">
        <v>46</v>
      </c>
      <c r="B17">
        <v>1</v>
      </c>
    </row>
    <row r="18" spans="1:2" x14ac:dyDescent="0.25">
      <c r="A18" t="s">
        <v>118</v>
      </c>
      <c r="B18">
        <v>2</v>
      </c>
    </row>
    <row r="19" spans="1:2" x14ac:dyDescent="0.25">
      <c r="A19" t="s">
        <v>57</v>
      </c>
      <c r="B19">
        <v>3</v>
      </c>
    </row>
    <row r="20" spans="1:2" x14ac:dyDescent="0.25">
      <c r="A20" t="s">
        <v>58</v>
      </c>
      <c r="B20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B1" sqref="B1"/>
    </sheetView>
  </sheetViews>
  <sheetFormatPr defaultRowHeight="15" x14ac:dyDescent="0.25"/>
  <cols>
    <col min="1" max="1" width="20.85546875" bestFit="1" customWidth="1"/>
    <col min="2" max="2" width="20.5703125" bestFit="1" customWidth="1"/>
    <col min="3" max="3" width="22.42578125" bestFit="1" customWidth="1"/>
    <col min="4" max="4" width="15.28515625" bestFit="1" customWidth="1"/>
  </cols>
  <sheetData>
    <row r="1" spans="1:2" x14ac:dyDescent="0.25">
      <c r="A1" t="s">
        <v>121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15</v>
      </c>
      <c r="B5">
        <v>50</v>
      </c>
    </row>
    <row r="6" spans="1:2" x14ac:dyDescent="0.25">
      <c r="A6" t="s">
        <v>19</v>
      </c>
      <c r="B6">
        <v>100</v>
      </c>
    </row>
    <row r="7" spans="1:2" x14ac:dyDescent="0.25">
      <c r="A7" t="s">
        <v>122</v>
      </c>
      <c r="B7">
        <v>200</v>
      </c>
    </row>
    <row r="8" spans="1:2" x14ac:dyDescent="0.25">
      <c r="A8" t="s">
        <v>51</v>
      </c>
      <c r="B8">
        <v>300</v>
      </c>
    </row>
    <row r="9" spans="1:2" x14ac:dyDescent="0.25">
      <c r="A9" t="s">
        <v>93</v>
      </c>
      <c r="B9">
        <v>400</v>
      </c>
    </row>
    <row r="10" spans="1:2" x14ac:dyDescent="0.25">
      <c r="A10" t="s">
        <v>16</v>
      </c>
      <c r="B10">
        <v>7980</v>
      </c>
    </row>
    <row r="11" spans="1:2" x14ac:dyDescent="0.25">
      <c r="A11" t="s">
        <v>17</v>
      </c>
      <c r="B11">
        <v>305100</v>
      </c>
    </row>
    <row r="12" spans="1:2" x14ac:dyDescent="0.25">
      <c r="A12" t="s">
        <v>18</v>
      </c>
      <c r="B12">
        <v>330000</v>
      </c>
    </row>
    <row r="13" spans="1:2" x14ac:dyDescent="0.25">
      <c r="A13" t="s">
        <v>94</v>
      </c>
      <c r="B13">
        <v>400</v>
      </c>
    </row>
    <row r="14" spans="1:2" x14ac:dyDescent="0.25">
      <c r="A14" t="s">
        <v>85</v>
      </c>
      <c r="B14" t="s">
        <v>123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workbookViewId="0">
      <selection activeCell="B1" sqref="B1"/>
    </sheetView>
  </sheetViews>
  <sheetFormatPr defaultRowHeight="15" x14ac:dyDescent="0.25"/>
  <cols>
    <col min="1" max="1" width="14" bestFit="1" customWidth="1"/>
    <col min="2" max="2" width="10.7109375" bestFit="1" customWidth="1"/>
  </cols>
  <sheetData>
    <row r="1" spans="1:2" x14ac:dyDescent="0.25">
      <c r="A1" t="s">
        <v>124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42</v>
      </c>
      <c r="B5">
        <v>200</v>
      </c>
    </row>
    <row r="6" spans="1:2" x14ac:dyDescent="0.25">
      <c r="A6" t="s">
        <v>109</v>
      </c>
      <c r="B6">
        <v>5</v>
      </c>
    </row>
    <row r="7" spans="1:2" x14ac:dyDescent="0.25">
      <c r="A7" t="s">
        <v>85</v>
      </c>
      <c r="B7" t="s">
        <v>125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6"/>
  <sheetViews>
    <sheetView workbookViewId="0">
      <selection activeCell="B1" sqref="B1"/>
    </sheetView>
  </sheetViews>
  <sheetFormatPr defaultRowHeight="15" x14ac:dyDescent="0.25"/>
  <cols>
    <col min="1" max="1" width="22.42578125" bestFit="1" customWidth="1"/>
    <col min="2" max="2" width="16.7109375" bestFit="1" customWidth="1"/>
  </cols>
  <sheetData>
    <row r="1" spans="1:2" x14ac:dyDescent="0.25">
      <c r="A1" t="s">
        <v>126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99</v>
      </c>
      <c r="B5">
        <v>765285</v>
      </c>
    </row>
    <row r="6" spans="1:2" x14ac:dyDescent="0.25">
      <c r="A6" t="s">
        <v>146</v>
      </c>
      <c r="B6">
        <v>275000</v>
      </c>
    </row>
    <row r="7" spans="1:2" x14ac:dyDescent="0.25">
      <c r="A7" t="s">
        <v>23</v>
      </c>
      <c r="B7">
        <v>300000</v>
      </c>
    </row>
    <row r="8" spans="1:2" x14ac:dyDescent="0.25">
      <c r="A8" t="s">
        <v>48</v>
      </c>
      <c r="B8">
        <v>590392</v>
      </c>
    </row>
    <row r="9" spans="1:2" x14ac:dyDescent="0.25">
      <c r="A9" t="s">
        <v>24</v>
      </c>
      <c r="B9">
        <v>275000</v>
      </c>
    </row>
    <row r="10" spans="1:2" x14ac:dyDescent="0.25">
      <c r="A10" t="s">
        <v>102</v>
      </c>
      <c r="B10">
        <v>2</v>
      </c>
    </row>
    <row r="11" spans="1:2" x14ac:dyDescent="0.25">
      <c r="A11" t="s">
        <v>103</v>
      </c>
      <c r="B11">
        <v>63</v>
      </c>
    </row>
    <row r="12" spans="1:2" x14ac:dyDescent="0.25">
      <c r="A12" t="s">
        <v>104</v>
      </c>
      <c r="B12">
        <v>590392</v>
      </c>
    </row>
    <row r="13" spans="1:2" x14ac:dyDescent="0.25">
      <c r="A13" t="s">
        <v>100</v>
      </c>
      <c r="B13">
        <v>680677</v>
      </c>
    </row>
    <row r="14" spans="1:2" x14ac:dyDescent="0.25">
      <c r="A14" t="s">
        <v>101</v>
      </c>
      <c r="B14">
        <v>3.11</v>
      </c>
    </row>
    <row r="15" spans="1:2" x14ac:dyDescent="0.25">
      <c r="A15" t="s">
        <v>127</v>
      </c>
      <c r="B15">
        <v>4.71</v>
      </c>
    </row>
    <row r="16" spans="1:2" x14ac:dyDescent="0.25">
      <c r="A16" t="s">
        <v>85</v>
      </c>
      <c r="B16" t="s">
        <v>128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4"/>
  <sheetViews>
    <sheetView workbookViewId="0">
      <selection activeCell="B1" sqref="B1"/>
    </sheetView>
  </sheetViews>
  <sheetFormatPr defaultRowHeight="15" x14ac:dyDescent="0.25"/>
  <cols>
    <col min="1" max="1" width="22.42578125" bestFit="1" customWidth="1"/>
    <col min="2" max="2" width="20.28515625" bestFit="1" customWidth="1"/>
  </cols>
  <sheetData>
    <row r="1" spans="1:2" x14ac:dyDescent="0.25">
      <c r="A1" t="s">
        <v>129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105</v>
      </c>
      <c r="B5">
        <v>200</v>
      </c>
    </row>
    <row r="6" spans="1:2" x14ac:dyDescent="0.25">
      <c r="A6" t="s">
        <v>48</v>
      </c>
      <c r="B6">
        <v>300</v>
      </c>
    </row>
    <row r="7" spans="1:2" x14ac:dyDescent="0.25">
      <c r="A7" t="s">
        <v>23</v>
      </c>
      <c r="B7">
        <v>450</v>
      </c>
    </row>
    <row r="8" spans="1:2" x14ac:dyDescent="0.25">
      <c r="A8" t="s">
        <v>30</v>
      </c>
      <c r="B8">
        <v>457</v>
      </c>
    </row>
    <row r="9" spans="1:2" x14ac:dyDescent="0.25">
      <c r="A9" t="s">
        <v>24</v>
      </c>
      <c r="B9">
        <v>600</v>
      </c>
    </row>
    <row r="10" spans="1:2" x14ac:dyDescent="0.25">
      <c r="A10" t="s">
        <v>102</v>
      </c>
      <c r="B10">
        <v>2</v>
      </c>
    </row>
    <row r="11" spans="1:2" x14ac:dyDescent="0.25">
      <c r="A11" t="s">
        <v>33</v>
      </c>
      <c r="B11">
        <v>500</v>
      </c>
    </row>
    <row r="12" spans="1:2" x14ac:dyDescent="0.25">
      <c r="A12" t="s">
        <v>34</v>
      </c>
      <c r="B12">
        <v>2</v>
      </c>
    </row>
    <row r="13" spans="1:2" x14ac:dyDescent="0.25">
      <c r="A13" t="s">
        <v>103</v>
      </c>
      <c r="B13">
        <v>50.5</v>
      </c>
    </row>
    <row r="14" spans="1:2" x14ac:dyDescent="0.25">
      <c r="A14" t="s">
        <v>85</v>
      </c>
      <c r="B14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3"/>
  <sheetViews>
    <sheetView workbookViewId="0">
      <selection activeCell="B1" sqref="B1"/>
    </sheetView>
  </sheetViews>
  <sheetFormatPr defaultRowHeight="15" x14ac:dyDescent="0.25"/>
  <cols>
    <col min="1" max="1" width="11.85546875" bestFit="1" customWidth="1"/>
    <col min="2" max="2" width="20.140625" bestFit="1" customWidth="1"/>
  </cols>
  <sheetData>
    <row r="1" spans="1:2" x14ac:dyDescent="0.25">
      <c r="A1" t="s">
        <v>131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106</v>
      </c>
      <c r="B5">
        <v>60</v>
      </c>
    </row>
    <row r="6" spans="1:2" x14ac:dyDescent="0.25">
      <c r="A6" t="s">
        <v>48</v>
      </c>
      <c r="B6">
        <v>50</v>
      </c>
    </row>
    <row r="7" spans="1:2" x14ac:dyDescent="0.25">
      <c r="A7" t="s">
        <v>23</v>
      </c>
      <c r="B7">
        <v>40</v>
      </c>
    </row>
    <row r="8" spans="1:2" x14ac:dyDescent="0.25">
      <c r="A8" t="s">
        <v>30</v>
      </c>
      <c r="B8" t="s">
        <v>132</v>
      </c>
    </row>
    <row r="9" spans="1:2" x14ac:dyDescent="0.25">
      <c r="A9" t="s">
        <v>24</v>
      </c>
      <c r="B9" t="s">
        <v>135</v>
      </c>
    </row>
    <row r="10" spans="1:2" x14ac:dyDescent="0.25">
      <c r="A10" t="s">
        <v>102</v>
      </c>
      <c r="B10">
        <v>4</v>
      </c>
    </row>
    <row r="11" spans="1:2" x14ac:dyDescent="0.25">
      <c r="A11" t="s">
        <v>33</v>
      </c>
      <c r="B11">
        <v>20</v>
      </c>
    </row>
    <row r="12" spans="1:2" x14ac:dyDescent="0.25">
      <c r="A12" t="s">
        <v>34</v>
      </c>
      <c r="B12">
        <v>500</v>
      </c>
    </row>
    <row r="13" spans="1:2" x14ac:dyDescent="0.25">
      <c r="A13" t="s">
        <v>133</v>
      </c>
      <c r="B13" t="s">
        <v>134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0"/>
  <sheetViews>
    <sheetView workbookViewId="0">
      <selection activeCell="B1" sqref="B1"/>
    </sheetView>
  </sheetViews>
  <sheetFormatPr defaultRowHeight="15" x14ac:dyDescent="0.25"/>
  <cols>
    <col min="1" max="1" width="15.85546875" bestFit="1" customWidth="1"/>
    <col min="2" max="2" width="25.85546875" bestFit="1" customWidth="1"/>
    <col min="3" max="3" width="17.5703125" bestFit="1" customWidth="1"/>
    <col min="4" max="4" width="18.140625" bestFit="1" customWidth="1"/>
  </cols>
  <sheetData>
    <row r="1" spans="1:2" x14ac:dyDescent="0.25">
      <c r="A1" t="s">
        <v>136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107</v>
      </c>
      <c r="B5">
        <v>2</v>
      </c>
    </row>
    <row r="6" spans="1:2" x14ac:dyDescent="0.25">
      <c r="A6" t="s">
        <v>37</v>
      </c>
      <c r="B6">
        <v>5</v>
      </c>
    </row>
    <row r="7" spans="1:2" x14ac:dyDescent="0.25">
      <c r="A7" t="s">
        <v>38</v>
      </c>
      <c r="B7">
        <v>3</v>
      </c>
    </row>
    <row r="8" spans="1:2" x14ac:dyDescent="0.25">
      <c r="A8" t="s">
        <v>108</v>
      </c>
      <c r="B8">
        <v>4</v>
      </c>
    </row>
    <row r="9" spans="1:2" x14ac:dyDescent="0.25">
      <c r="A9" t="s">
        <v>39</v>
      </c>
      <c r="B9">
        <v>10</v>
      </c>
    </row>
    <row r="10" spans="1:2" x14ac:dyDescent="0.25">
      <c r="A10" t="s">
        <v>85</v>
      </c>
      <c r="B10" t="s">
        <v>137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6"/>
  <sheetViews>
    <sheetView workbookViewId="0">
      <selection activeCell="B1" sqref="B1"/>
    </sheetView>
  </sheetViews>
  <sheetFormatPr defaultRowHeight="15" x14ac:dyDescent="0.25"/>
  <cols>
    <col min="1" max="1" width="26.42578125" bestFit="1" customWidth="1"/>
    <col min="2" max="2" width="22.7109375" bestFit="1" customWidth="1"/>
  </cols>
  <sheetData>
    <row r="1" spans="1:2" x14ac:dyDescent="0.25">
      <c r="A1" t="s">
        <v>138</v>
      </c>
    </row>
    <row r="2" spans="1:2" x14ac:dyDescent="0.25">
      <c r="A2" t="s">
        <v>95</v>
      </c>
      <c r="B2">
        <v>100</v>
      </c>
    </row>
    <row r="3" spans="1:2" x14ac:dyDescent="0.25">
      <c r="A3" t="s">
        <v>96</v>
      </c>
      <c r="B3">
        <v>250</v>
      </c>
    </row>
    <row r="4" spans="1:2" x14ac:dyDescent="0.25">
      <c r="A4" t="s">
        <v>97</v>
      </c>
      <c r="B4">
        <v>150</v>
      </c>
    </row>
    <row r="5" spans="1:2" x14ac:dyDescent="0.25">
      <c r="A5" t="s">
        <v>98</v>
      </c>
      <c r="B5">
        <v>125</v>
      </c>
    </row>
    <row r="6" spans="1:2" x14ac:dyDescent="0.25">
      <c r="A6" t="s">
        <v>85</v>
      </c>
      <c r="B6" t="s">
        <v>139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6"/>
  <sheetViews>
    <sheetView workbookViewId="0">
      <selection activeCell="B1" sqref="B1"/>
    </sheetView>
  </sheetViews>
  <sheetFormatPr defaultRowHeight="15" x14ac:dyDescent="0.25"/>
  <cols>
    <col min="1" max="1" width="19.140625" bestFit="1" customWidth="1"/>
    <col min="2" max="2" width="11.42578125" bestFit="1" customWidth="1"/>
  </cols>
  <sheetData>
    <row r="1" spans="1:2" x14ac:dyDescent="0.25">
      <c r="A1" t="s">
        <v>140</v>
      </c>
    </row>
    <row r="2" spans="1:2" x14ac:dyDescent="0.25">
      <c r="A2" t="s">
        <v>70</v>
      </c>
      <c r="B2" t="s">
        <v>141</v>
      </c>
    </row>
    <row r="3" spans="1:2" x14ac:dyDescent="0.25">
      <c r="A3" t="s">
        <v>72</v>
      </c>
      <c r="B3" t="s">
        <v>141</v>
      </c>
    </row>
    <row r="4" spans="1:2" x14ac:dyDescent="0.25">
      <c r="A4" t="s">
        <v>66</v>
      </c>
      <c r="B4" t="s">
        <v>142</v>
      </c>
    </row>
    <row r="5" spans="1:2" x14ac:dyDescent="0.25">
      <c r="A5" t="s">
        <v>74</v>
      </c>
      <c r="B5" t="s">
        <v>142</v>
      </c>
    </row>
    <row r="6" spans="1:2" x14ac:dyDescent="0.25">
      <c r="A6" t="s">
        <v>71</v>
      </c>
      <c r="B6" t="s">
        <v>141</v>
      </c>
    </row>
    <row r="7" spans="1:2" x14ac:dyDescent="0.25">
      <c r="A7" t="s">
        <v>73</v>
      </c>
      <c r="B7" t="s">
        <v>141</v>
      </c>
    </row>
    <row r="8" spans="1:2" x14ac:dyDescent="0.25">
      <c r="A8" t="s">
        <v>28</v>
      </c>
      <c r="B8" t="s">
        <v>141</v>
      </c>
    </row>
    <row r="9" spans="1:2" x14ac:dyDescent="0.25">
      <c r="A9" t="s">
        <v>75</v>
      </c>
      <c r="B9" t="s">
        <v>141</v>
      </c>
    </row>
    <row r="10" spans="1:2" x14ac:dyDescent="0.25">
      <c r="A10" t="s">
        <v>76</v>
      </c>
      <c r="B10" t="s">
        <v>143</v>
      </c>
    </row>
    <row r="11" spans="1:2" x14ac:dyDescent="0.25">
      <c r="A11" t="s">
        <v>78</v>
      </c>
      <c r="B11" t="s">
        <v>141</v>
      </c>
    </row>
    <row r="12" spans="1:2" x14ac:dyDescent="0.25">
      <c r="A12" t="s">
        <v>80</v>
      </c>
      <c r="B12" t="s">
        <v>141</v>
      </c>
    </row>
    <row r="13" spans="1:2" x14ac:dyDescent="0.25">
      <c r="A13" t="s">
        <v>110</v>
      </c>
      <c r="B13" t="s">
        <v>141</v>
      </c>
    </row>
    <row r="14" spans="1:2" x14ac:dyDescent="0.25">
      <c r="A14" t="s">
        <v>79</v>
      </c>
      <c r="B14" t="s">
        <v>141</v>
      </c>
    </row>
    <row r="15" spans="1:2" x14ac:dyDescent="0.25">
      <c r="A15" t="s">
        <v>111</v>
      </c>
      <c r="B15" t="s">
        <v>141</v>
      </c>
    </row>
    <row r="16" spans="1:2" x14ac:dyDescent="0.25">
      <c r="A16" t="s">
        <v>84</v>
      </c>
      <c r="B16" t="s">
        <v>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Print This</vt:lpstr>
      <vt:lpstr>RxTable</vt:lpstr>
      <vt:lpstr>InboundTable</vt:lpstr>
      <vt:lpstr>RepackTable</vt:lpstr>
      <vt:lpstr>OffsiteTable</vt:lpstr>
      <vt:lpstr>DPSTable</vt:lpstr>
      <vt:lpstr>MPSTable</vt:lpstr>
      <vt:lpstr>CPSTable</vt:lpstr>
      <vt:lpstr>ShippingTable</vt:lpstr>
      <vt:lpstr>ICTable</vt:lpstr>
      <vt:lpstr>Notes</vt:lpstr>
      <vt:lpstr>CPSTable!CPS_14</vt:lpstr>
      <vt:lpstr>DPSTable!DPS_14</vt:lpstr>
      <vt:lpstr>ICTable!IC_14</vt:lpstr>
      <vt:lpstr>InboundTable!Inbound_13</vt:lpstr>
      <vt:lpstr>MPSTable!MPS_14</vt:lpstr>
      <vt:lpstr>Notes!Notes_13</vt:lpstr>
      <vt:lpstr>OffsiteTable!Offsite_14</vt:lpstr>
      <vt:lpstr>RepackTable!Repack_13</vt:lpstr>
      <vt:lpstr>RxTable!Rx_14</vt:lpstr>
      <vt:lpstr>ShippingTable!Shipping_14</vt:lpstr>
    </vt:vector>
  </TitlesOfParts>
  <Company>CVS Health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kmmcpherson</dc:creator>
  <cp:lastModifiedBy>CVS Caremark</cp:lastModifiedBy>
  <cp:lastPrinted>2020-05-19T15:14:55Z</cp:lastPrinted>
  <dcterms:created xsi:type="dcterms:W3CDTF">2017-08-30T09:35:40Z</dcterms:created>
  <dcterms:modified xsi:type="dcterms:W3CDTF">2020-06-24T20:38:30Z</dcterms:modified>
</cp:coreProperties>
</file>